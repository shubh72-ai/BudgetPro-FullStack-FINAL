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ubh\Desktop\Learning ABC\Claude\"/>
    </mc:Choice>
  </mc:AlternateContent>
  <xr:revisionPtr revIDLastSave="0" documentId="8_{47038C53-8986-43E7-B6EF-AFB9FEC2CDFD}" xr6:coauthVersionLast="47" xr6:coauthVersionMax="47" xr10:uidLastSave="{00000000-0000-0000-0000-000000000000}"/>
  <bookViews>
    <workbookView xWindow="-108" yWindow="-108" windowWidth="23256" windowHeight="12456" tabRatio="500" firstSheet="1" activeTab="13" xr2:uid="{00000000-000D-0000-FFFF-FFFF00000000}"/>
  </bookViews>
  <sheets>
    <sheet name="Cover" sheetId="1" r:id="rId1"/>
    <sheet name="Jan" sheetId="2" r:id="rId2"/>
    <sheet name="Feb" sheetId="3" r:id="rId3"/>
    <sheet name="Mar" sheetId="4" r:id="rId4"/>
    <sheet name="Apr" sheetId="5" r:id="rId5"/>
    <sheet name="May" sheetId="6" r:id="rId6"/>
    <sheet name="Jun" sheetId="7" r:id="rId7"/>
    <sheet name="Jul" sheetId="8" r:id="rId8"/>
    <sheet name="Aug" sheetId="9" r:id="rId9"/>
    <sheet name="Sep" sheetId="10" r:id="rId10"/>
    <sheet name="Oct" sheetId="11" r:id="rId11"/>
    <sheet name="Nov" sheetId="12" r:id="rId12"/>
    <sheet name="Dec" sheetId="13" r:id="rId13"/>
    <sheet name="Dashboard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14" l="1"/>
  <c r="D33" i="14" s="1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G30" i="13"/>
  <c r="F29" i="13"/>
  <c r="O24" i="13"/>
  <c r="N24" i="13"/>
  <c r="M24" i="13"/>
  <c r="F30" i="13" s="1"/>
  <c r="O23" i="13"/>
  <c r="O22" i="13"/>
  <c r="I22" i="13"/>
  <c r="G29" i="13" s="1"/>
  <c r="H22" i="13"/>
  <c r="J22" i="13" s="1"/>
  <c r="O21" i="13"/>
  <c r="J21" i="13"/>
  <c r="S20" i="13"/>
  <c r="G32" i="13" s="1"/>
  <c r="R20" i="13"/>
  <c r="T20" i="13" s="1"/>
  <c r="O20" i="13"/>
  <c r="J20" i="13"/>
  <c r="D20" i="13"/>
  <c r="G28" i="13" s="1"/>
  <c r="C20" i="13"/>
  <c r="E20" i="13" s="1"/>
  <c r="T19" i="13"/>
  <c r="O19" i="13"/>
  <c r="J19" i="13"/>
  <c r="E19" i="13"/>
  <c r="T18" i="13"/>
  <c r="O18" i="13"/>
  <c r="J18" i="13"/>
  <c r="E18" i="13"/>
  <c r="T17" i="13"/>
  <c r="O17" i="13"/>
  <c r="J17" i="13"/>
  <c r="E17" i="13"/>
  <c r="T16" i="13"/>
  <c r="O16" i="13"/>
  <c r="J16" i="13"/>
  <c r="E16" i="13"/>
  <c r="T15" i="13"/>
  <c r="O15" i="13"/>
  <c r="J15" i="13"/>
  <c r="E15" i="13"/>
  <c r="T14" i="13"/>
  <c r="O14" i="13"/>
  <c r="J14" i="13"/>
  <c r="E14" i="13"/>
  <c r="T13" i="13"/>
  <c r="O13" i="13"/>
  <c r="J13" i="13"/>
  <c r="E13" i="13"/>
  <c r="T12" i="13"/>
  <c r="O12" i="13"/>
  <c r="J12" i="13"/>
  <c r="E12" i="13"/>
  <c r="F32" i="12"/>
  <c r="G29" i="12"/>
  <c r="F28" i="12"/>
  <c r="N24" i="12"/>
  <c r="O24" i="12" s="1"/>
  <c r="M24" i="12"/>
  <c r="F30" i="12" s="1"/>
  <c r="O23" i="12"/>
  <c r="O22" i="12"/>
  <c r="I22" i="12"/>
  <c r="H22" i="12"/>
  <c r="F29" i="12" s="1"/>
  <c r="O21" i="12"/>
  <c r="J21" i="12"/>
  <c r="S20" i="12"/>
  <c r="G32" i="12" s="1"/>
  <c r="R20" i="12"/>
  <c r="T20" i="12" s="1"/>
  <c r="O20" i="12"/>
  <c r="J20" i="12"/>
  <c r="E20" i="12"/>
  <c r="D20" i="12"/>
  <c r="G28" i="12" s="1"/>
  <c r="C20" i="12"/>
  <c r="T19" i="12"/>
  <c r="O19" i="12"/>
  <c r="J19" i="12"/>
  <c r="E19" i="12"/>
  <c r="T18" i="12"/>
  <c r="O18" i="12"/>
  <c r="J18" i="12"/>
  <c r="E18" i="12"/>
  <c r="T17" i="12"/>
  <c r="O17" i="12"/>
  <c r="J17" i="12"/>
  <c r="E17" i="12"/>
  <c r="T16" i="12"/>
  <c r="O16" i="12"/>
  <c r="J16" i="12"/>
  <c r="E16" i="12"/>
  <c r="T15" i="12"/>
  <c r="O15" i="12"/>
  <c r="J15" i="12"/>
  <c r="E15" i="12"/>
  <c r="T14" i="12"/>
  <c r="O14" i="12"/>
  <c r="J14" i="12"/>
  <c r="E14" i="12"/>
  <c r="T13" i="12"/>
  <c r="O13" i="12"/>
  <c r="J13" i="12"/>
  <c r="E13" i="12"/>
  <c r="T12" i="12"/>
  <c r="O12" i="12"/>
  <c r="J12" i="12"/>
  <c r="E12" i="12"/>
  <c r="G32" i="11"/>
  <c r="L7" i="11" s="1"/>
  <c r="F32" i="11"/>
  <c r="F29" i="11"/>
  <c r="F31" i="11" s="1"/>
  <c r="F33" i="11" s="1"/>
  <c r="G28" i="11"/>
  <c r="G34" i="11" s="1"/>
  <c r="H34" i="11" s="1"/>
  <c r="F28" i="11"/>
  <c r="F34" i="11" s="1"/>
  <c r="N24" i="11"/>
  <c r="G30" i="11" s="1"/>
  <c r="H30" i="11" s="1"/>
  <c r="M24" i="11"/>
  <c r="F30" i="11" s="1"/>
  <c r="O23" i="11"/>
  <c r="O22" i="11"/>
  <c r="I22" i="11"/>
  <c r="G29" i="11" s="1"/>
  <c r="H22" i="11"/>
  <c r="J22" i="11" s="1"/>
  <c r="O21" i="11"/>
  <c r="J21" i="11"/>
  <c r="T20" i="11"/>
  <c r="S20" i="11"/>
  <c r="R20" i="11"/>
  <c r="O20" i="11"/>
  <c r="J20" i="11"/>
  <c r="E20" i="11"/>
  <c r="D20" i="11"/>
  <c r="C20" i="11"/>
  <c r="T19" i="11"/>
  <c r="O19" i="11"/>
  <c r="J19" i="11"/>
  <c r="E19" i="11"/>
  <c r="T18" i="11"/>
  <c r="O18" i="11"/>
  <c r="J18" i="11"/>
  <c r="E18" i="11"/>
  <c r="T17" i="11"/>
  <c r="O17" i="11"/>
  <c r="J17" i="11"/>
  <c r="E17" i="11"/>
  <c r="T16" i="11"/>
  <c r="O16" i="11"/>
  <c r="J16" i="11"/>
  <c r="E16" i="11"/>
  <c r="T15" i="11"/>
  <c r="O15" i="11"/>
  <c r="J15" i="11"/>
  <c r="E15" i="11"/>
  <c r="T14" i="11"/>
  <c r="O14" i="11"/>
  <c r="J14" i="11"/>
  <c r="E14" i="11"/>
  <c r="T13" i="11"/>
  <c r="O13" i="11"/>
  <c r="J13" i="11"/>
  <c r="E13" i="11"/>
  <c r="T12" i="11"/>
  <c r="O12" i="11"/>
  <c r="J12" i="11"/>
  <c r="E12" i="11"/>
  <c r="F32" i="10"/>
  <c r="F30" i="10"/>
  <c r="F31" i="10" s="1"/>
  <c r="F29" i="10"/>
  <c r="N24" i="10"/>
  <c r="G30" i="10" s="1"/>
  <c r="H30" i="10" s="1"/>
  <c r="M24" i="10"/>
  <c r="O24" i="10" s="1"/>
  <c r="O23" i="10"/>
  <c r="O22" i="10"/>
  <c r="J22" i="10"/>
  <c r="I22" i="10"/>
  <c r="G29" i="10" s="1"/>
  <c r="H22" i="10"/>
  <c r="O21" i="10"/>
  <c r="J21" i="10"/>
  <c r="S20" i="10"/>
  <c r="G32" i="10" s="1"/>
  <c r="R20" i="10"/>
  <c r="O20" i="10"/>
  <c r="J20" i="10"/>
  <c r="E20" i="10"/>
  <c r="D20" i="10"/>
  <c r="G28" i="10" s="1"/>
  <c r="C20" i="10"/>
  <c r="F28" i="10" s="1"/>
  <c r="T19" i="10"/>
  <c r="O19" i="10"/>
  <c r="J19" i="10"/>
  <c r="E19" i="10"/>
  <c r="T18" i="10"/>
  <c r="O18" i="10"/>
  <c r="J18" i="10"/>
  <c r="E18" i="10"/>
  <c r="T17" i="10"/>
  <c r="O17" i="10"/>
  <c r="J17" i="10"/>
  <c r="E17" i="10"/>
  <c r="T16" i="10"/>
  <c r="O16" i="10"/>
  <c r="J16" i="10"/>
  <c r="E16" i="10"/>
  <c r="T15" i="10"/>
  <c r="O15" i="10"/>
  <c r="J15" i="10"/>
  <c r="E15" i="10"/>
  <c r="T14" i="10"/>
  <c r="O14" i="10"/>
  <c r="J14" i="10"/>
  <c r="E14" i="10"/>
  <c r="T13" i="10"/>
  <c r="O13" i="10"/>
  <c r="J13" i="10"/>
  <c r="E13" i="10"/>
  <c r="T12" i="10"/>
  <c r="O12" i="10"/>
  <c r="J12" i="10"/>
  <c r="E12" i="10"/>
  <c r="G32" i="9"/>
  <c r="E45" i="14" s="1"/>
  <c r="G30" i="9"/>
  <c r="H30" i="9" s="1"/>
  <c r="F30" i="9"/>
  <c r="F29" i="9"/>
  <c r="F31" i="9" s="1"/>
  <c r="G28" i="9"/>
  <c r="B7" i="9" s="1"/>
  <c r="F28" i="9"/>
  <c r="O24" i="9"/>
  <c r="N24" i="9"/>
  <c r="M24" i="9"/>
  <c r="O23" i="9"/>
  <c r="O22" i="9"/>
  <c r="I22" i="9"/>
  <c r="J22" i="9" s="1"/>
  <c r="H22" i="9"/>
  <c r="O21" i="9"/>
  <c r="J21" i="9"/>
  <c r="T20" i="9"/>
  <c r="S20" i="9"/>
  <c r="R20" i="9"/>
  <c r="F32" i="9" s="1"/>
  <c r="O20" i="9"/>
  <c r="J20" i="9"/>
  <c r="D20" i="9"/>
  <c r="E20" i="9" s="1"/>
  <c r="C20" i="9"/>
  <c r="T19" i="9"/>
  <c r="O19" i="9"/>
  <c r="J19" i="9"/>
  <c r="E19" i="9"/>
  <c r="T18" i="9"/>
  <c r="O18" i="9"/>
  <c r="J18" i="9"/>
  <c r="E18" i="9"/>
  <c r="T17" i="9"/>
  <c r="O17" i="9"/>
  <c r="J17" i="9"/>
  <c r="E17" i="9"/>
  <c r="T16" i="9"/>
  <c r="O16" i="9"/>
  <c r="J16" i="9"/>
  <c r="E16" i="9"/>
  <c r="T15" i="9"/>
  <c r="O15" i="9"/>
  <c r="J15" i="9"/>
  <c r="E15" i="9"/>
  <c r="T14" i="9"/>
  <c r="O14" i="9"/>
  <c r="J14" i="9"/>
  <c r="E14" i="9"/>
  <c r="T13" i="9"/>
  <c r="O13" i="9"/>
  <c r="J13" i="9"/>
  <c r="E13" i="9"/>
  <c r="T12" i="9"/>
  <c r="O12" i="9"/>
  <c r="J12" i="9"/>
  <c r="E12" i="9"/>
  <c r="F32" i="8"/>
  <c r="G30" i="8"/>
  <c r="F30" i="8"/>
  <c r="H30" i="8" s="1"/>
  <c r="G29" i="8"/>
  <c r="G31" i="8" s="1"/>
  <c r="N24" i="8"/>
  <c r="O24" i="8" s="1"/>
  <c r="M24" i="8"/>
  <c r="O23" i="8"/>
  <c r="O22" i="8"/>
  <c r="J22" i="8"/>
  <c r="I22" i="8"/>
  <c r="H22" i="8"/>
  <c r="F29" i="8" s="1"/>
  <c r="F31" i="8" s="1"/>
  <c r="O21" i="8"/>
  <c r="J21" i="8"/>
  <c r="S20" i="8"/>
  <c r="G32" i="8" s="1"/>
  <c r="R20" i="8"/>
  <c r="O20" i="8"/>
  <c r="J20" i="8"/>
  <c r="D20" i="8"/>
  <c r="G28" i="8" s="1"/>
  <c r="C20" i="8"/>
  <c r="E20" i="8" s="1"/>
  <c r="T19" i="8"/>
  <c r="O19" i="8"/>
  <c r="J19" i="8"/>
  <c r="E19" i="8"/>
  <c r="T18" i="8"/>
  <c r="O18" i="8"/>
  <c r="J18" i="8"/>
  <c r="E18" i="8"/>
  <c r="T17" i="8"/>
  <c r="O17" i="8"/>
  <c r="J17" i="8"/>
  <c r="E17" i="8"/>
  <c r="T16" i="8"/>
  <c r="O16" i="8"/>
  <c r="J16" i="8"/>
  <c r="E16" i="8"/>
  <c r="T15" i="8"/>
  <c r="O15" i="8"/>
  <c r="J15" i="8"/>
  <c r="E15" i="8"/>
  <c r="T14" i="8"/>
  <c r="O14" i="8"/>
  <c r="J14" i="8"/>
  <c r="E14" i="8"/>
  <c r="T13" i="8"/>
  <c r="O13" i="8"/>
  <c r="J13" i="8"/>
  <c r="E13" i="8"/>
  <c r="T12" i="8"/>
  <c r="O12" i="8"/>
  <c r="J12" i="8"/>
  <c r="E12" i="8"/>
  <c r="G32" i="7"/>
  <c r="E43" i="14" s="1"/>
  <c r="F29" i="7"/>
  <c r="G28" i="7"/>
  <c r="F28" i="7"/>
  <c r="O24" i="7"/>
  <c r="N24" i="7"/>
  <c r="G30" i="7" s="1"/>
  <c r="M24" i="7"/>
  <c r="F30" i="7" s="1"/>
  <c r="F31" i="7" s="1"/>
  <c r="O23" i="7"/>
  <c r="O22" i="7"/>
  <c r="I22" i="7"/>
  <c r="G29" i="7" s="1"/>
  <c r="H22" i="7"/>
  <c r="O21" i="7"/>
  <c r="J21" i="7"/>
  <c r="S20" i="7"/>
  <c r="R20" i="7"/>
  <c r="T20" i="7" s="1"/>
  <c r="O20" i="7"/>
  <c r="J20" i="7"/>
  <c r="E20" i="7"/>
  <c r="D20" i="7"/>
  <c r="C20" i="7"/>
  <c r="T19" i="7"/>
  <c r="O19" i="7"/>
  <c r="J19" i="7"/>
  <c r="E19" i="7"/>
  <c r="T18" i="7"/>
  <c r="O18" i="7"/>
  <c r="J18" i="7"/>
  <c r="E18" i="7"/>
  <c r="T17" i="7"/>
  <c r="O17" i="7"/>
  <c r="J17" i="7"/>
  <c r="E17" i="7"/>
  <c r="T16" i="7"/>
  <c r="O16" i="7"/>
  <c r="J16" i="7"/>
  <c r="E16" i="7"/>
  <c r="T15" i="7"/>
  <c r="O15" i="7"/>
  <c r="J15" i="7"/>
  <c r="E15" i="7"/>
  <c r="T14" i="7"/>
  <c r="O14" i="7"/>
  <c r="J14" i="7"/>
  <c r="E14" i="7"/>
  <c r="T13" i="7"/>
  <c r="O13" i="7"/>
  <c r="J13" i="7"/>
  <c r="E13" i="7"/>
  <c r="T12" i="7"/>
  <c r="O12" i="7"/>
  <c r="J12" i="7"/>
  <c r="E12" i="7"/>
  <c r="G32" i="6"/>
  <c r="L7" i="6" s="1"/>
  <c r="F30" i="6"/>
  <c r="G29" i="6"/>
  <c r="G28" i="6"/>
  <c r="G34" i="6" s="1"/>
  <c r="H34" i="6" s="1"/>
  <c r="N24" i="6"/>
  <c r="G30" i="6" s="1"/>
  <c r="H30" i="6" s="1"/>
  <c r="M24" i="6"/>
  <c r="O23" i="6"/>
  <c r="O22" i="6"/>
  <c r="I22" i="6"/>
  <c r="H22" i="6"/>
  <c r="J22" i="6" s="1"/>
  <c r="O21" i="6"/>
  <c r="J21" i="6"/>
  <c r="T20" i="6"/>
  <c r="S20" i="6"/>
  <c r="R20" i="6"/>
  <c r="F32" i="6" s="1"/>
  <c r="H32" i="6" s="1"/>
  <c r="O20" i="6"/>
  <c r="J20" i="6"/>
  <c r="D20" i="6"/>
  <c r="C20" i="6"/>
  <c r="E20" i="6" s="1"/>
  <c r="T19" i="6"/>
  <c r="O19" i="6"/>
  <c r="J19" i="6"/>
  <c r="E19" i="6"/>
  <c r="T18" i="6"/>
  <c r="O18" i="6"/>
  <c r="J18" i="6"/>
  <c r="E18" i="6"/>
  <c r="T17" i="6"/>
  <c r="O17" i="6"/>
  <c r="J17" i="6"/>
  <c r="E17" i="6"/>
  <c r="T16" i="6"/>
  <c r="O16" i="6"/>
  <c r="J16" i="6"/>
  <c r="E16" i="6"/>
  <c r="T15" i="6"/>
  <c r="O15" i="6"/>
  <c r="J15" i="6"/>
  <c r="E15" i="6"/>
  <c r="T14" i="6"/>
  <c r="O14" i="6"/>
  <c r="J14" i="6"/>
  <c r="E14" i="6"/>
  <c r="T13" i="6"/>
  <c r="O13" i="6"/>
  <c r="J13" i="6"/>
  <c r="E13" i="6"/>
  <c r="T12" i="6"/>
  <c r="O12" i="6"/>
  <c r="J12" i="6"/>
  <c r="E12" i="6"/>
  <c r="B7" i="6"/>
  <c r="G30" i="5"/>
  <c r="G31" i="5" s="1"/>
  <c r="G29" i="5"/>
  <c r="H29" i="5" s="1"/>
  <c r="F29" i="5"/>
  <c r="N24" i="5"/>
  <c r="M24" i="5"/>
  <c r="O24" i="5" s="1"/>
  <c r="O23" i="5"/>
  <c r="O22" i="5"/>
  <c r="J22" i="5"/>
  <c r="I22" i="5"/>
  <c r="H22" i="5"/>
  <c r="O21" i="5"/>
  <c r="J21" i="5"/>
  <c r="S20" i="5"/>
  <c r="G32" i="5" s="1"/>
  <c r="R20" i="5"/>
  <c r="T20" i="5" s="1"/>
  <c r="O20" i="5"/>
  <c r="J20" i="5"/>
  <c r="D20" i="5"/>
  <c r="G28" i="5" s="1"/>
  <c r="C20" i="5"/>
  <c r="F28" i="5" s="1"/>
  <c r="T19" i="5"/>
  <c r="O19" i="5"/>
  <c r="J19" i="5"/>
  <c r="E19" i="5"/>
  <c r="T18" i="5"/>
  <c r="O18" i="5"/>
  <c r="J18" i="5"/>
  <c r="E18" i="5"/>
  <c r="T17" i="5"/>
  <c r="O17" i="5"/>
  <c r="J17" i="5"/>
  <c r="E17" i="5"/>
  <c r="T16" i="5"/>
  <c r="O16" i="5"/>
  <c r="J16" i="5"/>
  <c r="E16" i="5"/>
  <c r="T15" i="5"/>
  <c r="O15" i="5"/>
  <c r="J15" i="5"/>
  <c r="E15" i="5"/>
  <c r="T14" i="5"/>
  <c r="O14" i="5"/>
  <c r="J14" i="5"/>
  <c r="E14" i="5"/>
  <c r="T13" i="5"/>
  <c r="O13" i="5"/>
  <c r="J13" i="5"/>
  <c r="E13" i="5"/>
  <c r="T12" i="5"/>
  <c r="O12" i="5"/>
  <c r="J12" i="5"/>
  <c r="E12" i="5"/>
  <c r="F32" i="4"/>
  <c r="G30" i="4"/>
  <c r="G29" i="4"/>
  <c r="H28" i="4"/>
  <c r="G28" i="4"/>
  <c r="F28" i="4"/>
  <c r="F34" i="4" s="1"/>
  <c r="O24" i="4"/>
  <c r="N24" i="4"/>
  <c r="M24" i="4"/>
  <c r="F30" i="4" s="1"/>
  <c r="H30" i="4" s="1"/>
  <c r="O23" i="4"/>
  <c r="O22" i="4"/>
  <c r="I22" i="4"/>
  <c r="H22" i="4"/>
  <c r="J22" i="4" s="1"/>
  <c r="O21" i="4"/>
  <c r="J21" i="4"/>
  <c r="S20" i="4"/>
  <c r="G32" i="4" s="1"/>
  <c r="R20" i="4"/>
  <c r="T20" i="4" s="1"/>
  <c r="O20" i="4"/>
  <c r="J20" i="4"/>
  <c r="E20" i="4"/>
  <c r="D20" i="4"/>
  <c r="C20" i="4"/>
  <c r="T19" i="4"/>
  <c r="O19" i="4"/>
  <c r="J19" i="4"/>
  <c r="E19" i="4"/>
  <c r="T18" i="4"/>
  <c r="O18" i="4"/>
  <c r="J18" i="4"/>
  <c r="E18" i="4"/>
  <c r="T17" i="4"/>
  <c r="O17" i="4"/>
  <c r="J17" i="4"/>
  <c r="E17" i="4"/>
  <c r="T16" i="4"/>
  <c r="O16" i="4"/>
  <c r="J16" i="4"/>
  <c r="E16" i="4"/>
  <c r="T15" i="4"/>
  <c r="O15" i="4"/>
  <c r="J15" i="4"/>
  <c r="E15" i="4"/>
  <c r="T14" i="4"/>
  <c r="O14" i="4"/>
  <c r="J14" i="4"/>
  <c r="E14" i="4"/>
  <c r="T13" i="4"/>
  <c r="O13" i="4"/>
  <c r="J13" i="4"/>
  <c r="E13" i="4"/>
  <c r="T12" i="4"/>
  <c r="O12" i="4"/>
  <c r="J12" i="4"/>
  <c r="E12" i="4"/>
  <c r="G32" i="3"/>
  <c r="E39" i="14" s="1"/>
  <c r="F32" i="3"/>
  <c r="G30" i="3"/>
  <c r="N24" i="3"/>
  <c r="M24" i="3"/>
  <c r="O24" i="3" s="1"/>
  <c r="O23" i="3"/>
  <c r="O22" i="3"/>
  <c r="I22" i="3"/>
  <c r="G29" i="3" s="1"/>
  <c r="H22" i="3"/>
  <c r="J22" i="3" s="1"/>
  <c r="O21" i="3"/>
  <c r="J21" i="3"/>
  <c r="T20" i="3"/>
  <c r="S20" i="3"/>
  <c r="R20" i="3"/>
  <c r="O20" i="3"/>
  <c r="J20" i="3"/>
  <c r="D20" i="3"/>
  <c r="E20" i="3" s="1"/>
  <c r="C20" i="3"/>
  <c r="F28" i="3" s="1"/>
  <c r="T19" i="3"/>
  <c r="O19" i="3"/>
  <c r="J19" i="3"/>
  <c r="E19" i="3"/>
  <c r="T18" i="3"/>
  <c r="O18" i="3"/>
  <c r="J18" i="3"/>
  <c r="E18" i="3"/>
  <c r="T17" i="3"/>
  <c r="O17" i="3"/>
  <c r="J17" i="3"/>
  <c r="E17" i="3"/>
  <c r="T16" i="3"/>
  <c r="O16" i="3"/>
  <c r="J16" i="3"/>
  <c r="E16" i="3"/>
  <c r="T15" i="3"/>
  <c r="O15" i="3"/>
  <c r="J15" i="3"/>
  <c r="E15" i="3"/>
  <c r="T14" i="3"/>
  <c r="O14" i="3"/>
  <c r="J14" i="3"/>
  <c r="E14" i="3"/>
  <c r="T13" i="3"/>
  <c r="O13" i="3"/>
  <c r="J13" i="3"/>
  <c r="E13" i="3"/>
  <c r="T12" i="3"/>
  <c r="O12" i="3"/>
  <c r="J12" i="3"/>
  <c r="E12" i="3"/>
  <c r="F32" i="2"/>
  <c r="F30" i="2"/>
  <c r="F31" i="2" s="1"/>
  <c r="F29" i="2"/>
  <c r="G28" i="2"/>
  <c r="F28" i="2"/>
  <c r="N24" i="2"/>
  <c r="G30" i="2" s="1"/>
  <c r="H30" i="2" s="1"/>
  <c r="M24" i="2"/>
  <c r="O24" i="2" s="1"/>
  <c r="O23" i="2"/>
  <c r="O22" i="2"/>
  <c r="J22" i="2"/>
  <c r="I22" i="2"/>
  <c r="G29" i="2" s="1"/>
  <c r="H22" i="2"/>
  <c r="O21" i="2"/>
  <c r="J21" i="2"/>
  <c r="S20" i="2"/>
  <c r="G32" i="2" s="1"/>
  <c r="R20" i="2"/>
  <c r="O20" i="2"/>
  <c r="J20" i="2"/>
  <c r="D20" i="2"/>
  <c r="C20" i="2"/>
  <c r="E20" i="2" s="1"/>
  <c r="T19" i="2"/>
  <c r="O19" i="2"/>
  <c r="J19" i="2"/>
  <c r="E19" i="2"/>
  <c r="T18" i="2"/>
  <c r="O18" i="2"/>
  <c r="J18" i="2"/>
  <c r="E18" i="2"/>
  <c r="T17" i="2"/>
  <c r="O17" i="2"/>
  <c r="J17" i="2"/>
  <c r="E17" i="2"/>
  <c r="T16" i="2"/>
  <c r="O16" i="2"/>
  <c r="J16" i="2"/>
  <c r="E16" i="2"/>
  <c r="T15" i="2"/>
  <c r="O15" i="2"/>
  <c r="J15" i="2"/>
  <c r="E15" i="2"/>
  <c r="T14" i="2"/>
  <c r="O14" i="2"/>
  <c r="J14" i="2"/>
  <c r="E14" i="2"/>
  <c r="T13" i="2"/>
  <c r="O13" i="2"/>
  <c r="J13" i="2"/>
  <c r="E13" i="2"/>
  <c r="T12" i="2"/>
  <c r="O12" i="2"/>
  <c r="J12" i="2"/>
  <c r="E12" i="2"/>
  <c r="B7" i="2"/>
  <c r="G33" i="2" l="1"/>
  <c r="H29" i="11"/>
  <c r="G31" i="11"/>
  <c r="H32" i="12"/>
  <c r="E48" i="14"/>
  <c r="L7" i="12"/>
  <c r="H30" i="13"/>
  <c r="F34" i="9"/>
  <c r="E49" i="14"/>
  <c r="L7" i="13"/>
  <c r="F33" i="7"/>
  <c r="G34" i="4"/>
  <c r="H34" i="4" s="1"/>
  <c r="G33" i="7"/>
  <c r="B7" i="8"/>
  <c r="G34" i="8"/>
  <c r="H34" i="8" s="1"/>
  <c r="G33" i="8"/>
  <c r="C44" i="14"/>
  <c r="F34" i="3"/>
  <c r="G31" i="7"/>
  <c r="H29" i="7"/>
  <c r="H32" i="2"/>
  <c r="E38" i="14"/>
  <c r="L7" i="14"/>
  <c r="L7" i="2"/>
  <c r="G7" i="5"/>
  <c r="D41" i="14"/>
  <c r="H29" i="2"/>
  <c r="G31" i="2"/>
  <c r="E40" i="14"/>
  <c r="H32" i="4"/>
  <c r="L7" i="4"/>
  <c r="F34" i="5"/>
  <c r="F33" i="5"/>
  <c r="F31" i="12"/>
  <c r="F33" i="12" s="1"/>
  <c r="G31" i="13"/>
  <c r="H29" i="13"/>
  <c r="H28" i="5"/>
  <c r="G34" i="5"/>
  <c r="H34" i="5" s="1"/>
  <c r="B7" i="5"/>
  <c r="C41" i="14"/>
  <c r="G33" i="5"/>
  <c r="H31" i="8"/>
  <c r="G7" i="8"/>
  <c r="D44" i="14"/>
  <c r="E46" i="14"/>
  <c r="H32" i="10"/>
  <c r="L7" i="10"/>
  <c r="G31" i="3"/>
  <c r="F33" i="2"/>
  <c r="L7" i="8"/>
  <c r="E44" i="14"/>
  <c r="H32" i="8"/>
  <c r="H28" i="12"/>
  <c r="C48" i="14"/>
  <c r="G34" i="12"/>
  <c r="H34" i="12" s="1"/>
  <c r="B7" i="12"/>
  <c r="L7" i="5"/>
  <c r="E41" i="14"/>
  <c r="G31" i="10"/>
  <c r="H29" i="10"/>
  <c r="C49" i="14"/>
  <c r="G34" i="13"/>
  <c r="H34" i="13" s="1"/>
  <c r="B7" i="13"/>
  <c r="G33" i="13"/>
  <c r="F33" i="9"/>
  <c r="F34" i="10"/>
  <c r="F33" i="10"/>
  <c r="H29" i="12"/>
  <c r="H30" i="7"/>
  <c r="C46" i="14"/>
  <c r="G34" i="10"/>
  <c r="H34" i="10" s="1"/>
  <c r="B7" i="10"/>
  <c r="G33" i="10"/>
  <c r="H28" i="10"/>
  <c r="F31" i="13"/>
  <c r="G34" i="2"/>
  <c r="H34" i="2" s="1"/>
  <c r="H32" i="3"/>
  <c r="O24" i="6"/>
  <c r="B7" i="7"/>
  <c r="J22" i="7"/>
  <c r="F34" i="7"/>
  <c r="T20" i="8"/>
  <c r="L7" i="9"/>
  <c r="F28" i="13"/>
  <c r="F32" i="13"/>
  <c r="H32" i="13" s="1"/>
  <c r="D16" i="14"/>
  <c r="D22" i="14"/>
  <c r="D28" i="14"/>
  <c r="C38" i="14"/>
  <c r="C47" i="14"/>
  <c r="F34" i="2"/>
  <c r="F28" i="8"/>
  <c r="H28" i="8" s="1"/>
  <c r="G34" i="9"/>
  <c r="H34" i="9" s="1"/>
  <c r="F29" i="3"/>
  <c r="F31" i="3" s="1"/>
  <c r="F33" i="3" s="1"/>
  <c r="G31" i="4"/>
  <c r="F28" i="6"/>
  <c r="G34" i="7"/>
  <c r="H34" i="7" s="1"/>
  <c r="O24" i="11"/>
  <c r="J22" i="12"/>
  <c r="F34" i="12"/>
  <c r="F30" i="5"/>
  <c r="F31" i="5" s="1"/>
  <c r="H31" i="5" s="1"/>
  <c r="L7" i="7"/>
  <c r="G30" i="12"/>
  <c r="D17" i="14"/>
  <c r="D23" i="14"/>
  <c r="D29" i="14"/>
  <c r="E47" i="14"/>
  <c r="G28" i="3"/>
  <c r="G31" i="6"/>
  <c r="H28" i="2"/>
  <c r="F30" i="3"/>
  <c r="H30" i="3" s="1"/>
  <c r="E20" i="5"/>
  <c r="H30" i="5"/>
  <c r="F29" i="6"/>
  <c r="F31" i="6" s="1"/>
  <c r="H29" i="8"/>
  <c r="H28" i="11"/>
  <c r="H32" i="11"/>
  <c r="D12" i="14"/>
  <c r="D18" i="14"/>
  <c r="D24" i="14"/>
  <c r="D30" i="14"/>
  <c r="C42" i="14"/>
  <c r="C45" i="14"/>
  <c r="T20" i="2"/>
  <c r="L7" i="3"/>
  <c r="F29" i="4"/>
  <c r="F31" i="4" s="1"/>
  <c r="F33" i="4"/>
  <c r="F32" i="7"/>
  <c r="H32" i="7" s="1"/>
  <c r="H28" i="9"/>
  <c r="H32" i="9"/>
  <c r="G33" i="11"/>
  <c r="D13" i="14"/>
  <c r="D19" i="14"/>
  <c r="D25" i="14"/>
  <c r="D31" i="14"/>
  <c r="E42" i="14"/>
  <c r="F32" i="5"/>
  <c r="H32" i="5" s="1"/>
  <c r="H28" i="7"/>
  <c r="G29" i="9"/>
  <c r="B7" i="11"/>
  <c r="D14" i="14"/>
  <c r="D20" i="14"/>
  <c r="D26" i="14"/>
  <c r="D32" i="14"/>
  <c r="C40" i="14"/>
  <c r="C43" i="14"/>
  <c r="B7" i="4"/>
  <c r="T20" i="10"/>
  <c r="D15" i="14"/>
  <c r="D21" i="14"/>
  <c r="D27" i="14"/>
  <c r="G7" i="6" l="1"/>
  <c r="G33" i="6"/>
  <c r="D42" i="14"/>
  <c r="H31" i="6"/>
  <c r="F46" i="14"/>
  <c r="O36" i="10"/>
  <c r="G36" i="10"/>
  <c r="Q7" i="10"/>
  <c r="H33" i="10"/>
  <c r="G34" i="3"/>
  <c r="H34" i="3" s="1"/>
  <c r="C39" i="14"/>
  <c r="B79" i="14" s="1"/>
  <c r="B7" i="3"/>
  <c r="G33" i="3"/>
  <c r="H28" i="3"/>
  <c r="B7" i="14"/>
  <c r="Q7" i="5"/>
  <c r="G36" i="5"/>
  <c r="O36" i="5"/>
  <c r="F41" i="14"/>
  <c r="H33" i="5"/>
  <c r="D43" i="14"/>
  <c r="H31" i="7"/>
  <c r="G7" i="7"/>
  <c r="F34" i="13"/>
  <c r="F33" i="13"/>
  <c r="D46" i="14"/>
  <c r="H31" i="10"/>
  <c r="G7" i="10"/>
  <c r="H29" i="3"/>
  <c r="L79" i="14"/>
  <c r="D56" i="14"/>
  <c r="E50" i="14"/>
  <c r="F34" i="6"/>
  <c r="F33" i="6"/>
  <c r="H28" i="6"/>
  <c r="H33" i="11"/>
  <c r="F47" i="14"/>
  <c r="Q7" i="11"/>
  <c r="O36" i="11"/>
  <c r="G36" i="11"/>
  <c r="F34" i="8"/>
  <c r="F33" i="8"/>
  <c r="H30" i="12"/>
  <c r="G31" i="12"/>
  <c r="D54" i="14"/>
  <c r="C50" i="14"/>
  <c r="H31" i="3"/>
  <c r="G7" i="3"/>
  <c r="D39" i="14"/>
  <c r="H29" i="4"/>
  <c r="O36" i="8"/>
  <c r="G36" i="8"/>
  <c r="Q7" i="8"/>
  <c r="H33" i="8"/>
  <c r="F44" i="14"/>
  <c r="F49" i="14"/>
  <c r="O36" i="13"/>
  <c r="G36" i="13"/>
  <c r="Q7" i="13"/>
  <c r="H33" i="13"/>
  <c r="G7" i="4"/>
  <c r="D40" i="14"/>
  <c r="G33" i="4"/>
  <c r="H31" i="4"/>
  <c r="H29" i="9"/>
  <c r="G31" i="9"/>
  <c r="H31" i="2"/>
  <c r="D38" i="14"/>
  <c r="G7" i="14"/>
  <c r="G7" i="2"/>
  <c r="H29" i="6"/>
  <c r="D49" i="14"/>
  <c r="G7" i="13"/>
  <c r="H31" i="13"/>
  <c r="G7" i="11"/>
  <c r="D47" i="14"/>
  <c r="H31" i="11"/>
  <c r="H28" i="13"/>
  <c r="F43" i="14"/>
  <c r="O36" i="7"/>
  <c r="H33" i="7"/>
  <c r="G36" i="7"/>
  <c r="Q7" i="7"/>
  <c r="H33" i="2"/>
  <c r="F38" i="14"/>
  <c r="O36" i="2"/>
  <c r="G36" i="2"/>
  <c r="Q7" i="2"/>
  <c r="D55" i="14" l="1"/>
  <c r="H31" i="12"/>
  <c r="D48" i="14"/>
  <c r="G7" i="12"/>
  <c r="G33" i="12"/>
  <c r="D45" i="14"/>
  <c r="G79" i="14" s="1"/>
  <c r="H31" i="9"/>
  <c r="G7" i="9"/>
  <c r="G33" i="9"/>
  <c r="F40" i="14"/>
  <c r="H33" i="4"/>
  <c r="O36" i="4"/>
  <c r="G36" i="4"/>
  <c r="Q7" i="4"/>
  <c r="D57" i="14"/>
  <c r="G36" i="6"/>
  <c r="Q7" i="6"/>
  <c r="F42" i="14"/>
  <c r="H33" i="6"/>
  <c r="O36" i="6"/>
  <c r="F39" i="14"/>
  <c r="O36" i="3"/>
  <c r="G36" i="3"/>
  <c r="H33" i="3"/>
  <c r="Q7" i="3"/>
  <c r="H33" i="9" l="1"/>
  <c r="F45" i="14"/>
  <c r="Q79" i="14" s="1"/>
  <c r="O36" i="9"/>
  <c r="G36" i="9"/>
  <c r="Q7" i="9"/>
  <c r="Q7" i="14"/>
  <c r="F48" i="14"/>
  <c r="G36" i="12"/>
  <c r="Q7" i="12"/>
  <c r="O36" i="12"/>
  <c r="H33" i="12"/>
  <c r="D50" i="14"/>
  <c r="F50" i="14" l="1"/>
</calcChain>
</file>

<file path=xl/sharedStrings.xml><?xml version="1.0" encoding="utf-8"?>
<sst xmlns="http://schemas.openxmlformats.org/spreadsheetml/2006/main" count="1158" uniqueCount="191">
  <si>
    <t>✨ PREMIUM BUDGET TRACKER ✨</t>
  </si>
  <si>
    <t>FY 2026 Edition  •  Plan • Track • Save • Grow</t>
  </si>
  <si>
    <t>📊  OPEN YEARLY DASHBOARD</t>
  </si>
  <si>
    <t>📖  HOW TO USE THIS TRACKER</t>
  </si>
  <si>
    <t>🔵</t>
  </si>
  <si>
    <t>Blue numbers</t>
  </si>
  <si>
    <t>Editable input cells — type your Planned &amp; Actual amounts here.</t>
  </si>
  <si>
    <t>⚫</t>
  </si>
  <si>
    <t>Black text</t>
  </si>
  <si>
    <t>Auto-calculated totals, percentages &amp; formulas — never edit these.</t>
  </si>
  <si>
    <t>🟢</t>
  </si>
  <si>
    <t>Green highlight</t>
  </si>
  <si>
    <t>You met or exceeded a goal (income/savings) or stayed within budget.</t>
  </si>
  <si>
    <t>🔴</t>
  </si>
  <si>
    <t>Red highlight</t>
  </si>
  <si>
    <t>You've overspent a category — time to review!</t>
  </si>
  <si>
    <t>🥇</t>
  </si>
  <si>
    <t>Gold accents</t>
  </si>
  <si>
    <t>Key totals, KPI cards &amp; premium highlights.</t>
  </si>
  <si>
    <t>📅  JUMP TO A MONTH</t>
  </si>
  <si>
    <t>❄️  January</t>
  </si>
  <si>
    <t>💖  February</t>
  </si>
  <si>
    <t>🌱  March</t>
  </si>
  <si>
    <t>🌧️  April</t>
  </si>
  <si>
    <t>🌸  May</t>
  </si>
  <si>
    <t>☀️  June</t>
  </si>
  <si>
    <t>🌧️  July</t>
  </si>
  <si>
    <t>🌻  August</t>
  </si>
  <si>
    <t>🍃  September</t>
  </si>
  <si>
    <t>🎆  October</t>
  </si>
  <si>
    <t>🪔  November</t>
  </si>
  <si>
    <t>🎄  December</t>
  </si>
  <si>
    <t>💡 Each month is fully self-contained — fill it in independently. The Dashboard pulls everything together automatically.</t>
  </si>
  <si>
    <t>✨ Premium Budget Tracker 2026  •  Made with 💛 for smarter saving ✨</t>
  </si>
  <si>
    <t>🏠  DASHBOARD</t>
  </si>
  <si>
    <t>✨ PREMIUM MONTHLY BUDGET TRACKER ✨</t>
  </si>
  <si>
    <t>◀  Dashboard</t>
  </si>
  <si>
    <t>Feb  ▶</t>
  </si>
  <si>
    <t>❄️  JANUARY</t>
  </si>
  <si>
    <t>Monthly Budget Tracker  •  Edit only the blue input cells</t>
  </si>
  <si>
    <t>💵 TOTAL INCOME</t>
  </si>
  <si>
    <t>🧾 TOTAL EXPENSES</t>
  </si>
  <si>
    <t>💎 TOTAL SAVINGS</t>
  </si>
  <si>
    <t>⚖️ NET BALANCE</t>
  </si>
  <si>
    <t>💵  INCOME</t>
  </si>
  <si>
    <t>🏠  FIXED EXPENSES (Bills + EMIs)</t>
  </si>
  <si>
    <t>🛍️  VARIABLE EXPENSES</t>
  </si>
  <si>
    <t>💎  SAVINGS &amp; INVESTMENTS</t>
  </si>
  <si>
    <t>Category</t>
  </si>
  <si>
    <t>Planned</t>
  </si>
  <si>
    <t>Actual</t>
  </si>
  <si>
    <t>Progress</t>
  </si>
  <si>
    <t>💼 Salary / Full-time Job</t>
  </si>
  <si>
    <t>🏠 Rent / Home Loan EMI</t>
  </si>
  <si>
    <t>🛒 Groceries</t>
  </si>
  <si>
    <t>🚨 Emergency Fund</t>
  </si>
  <si>
    <t>🧑‍💻 Freelance / Side Hustle</t>
  </si>
  <si>
    <t>💡 Electricity Bill</t>
  </si>
  <si>
    <t>🍽️ Eating Out / Dining</t>
  </si>
  <si>
    <t>📊 Mutual Fund / SIP</t>
  </si>
  <si>
    <t>🏢 Business Income</t>
  </si>
  <si>
    <t>🚰 Water Bill</t>
  </si>
  <si>
    <t>⛽ Transport / Fuel</t>
  </si>
  <si>
    <t>🏦 PPF / EPF</t>
  </si>
  <si>
    <t>🏠 Rental Income</t>
  </si>
  <si>
    <t>🌐 Internet / WiFi</t>
  </si>
  <si>
    <t>🛍️ Shopping / Clothing</t>
  </si>
  <si>
    <t>🥇 Stocks / Gold</t>
  </si>
  <si>
    <t>📈 Investment Returns</t>
  </si>
  <si>
    <t>📱 Mobile Recharge</t>
  </si>
  <si>
    <t>🎮 Entertainment</t>
  </si>
  <si>
    <t>🔒 Fixed Deposit / RD</t>
  </si>
  <si>
    <t>🎁 Bonus / Incentive</t>
  </si>
  <si>
    <t>🛡️ Insurance Premium</t>
  </si>
  <si>
    <t>💇 Personal Care</t>
  </si>
  <si>
    <t>👴 Retirement (NPS)</t>
  </si>
  <si>
    <t>➕ Other Income 1</t>
  </si>
  <si>
    <t>🚗 Car / Vehicle EMI</t>
  </si>
  <si>
    <t>🏥 Health / Medical</t>
  </si>
  <si>
    <t>🎯 Goal-based Savings</t>
  </si>
  <si>
    <t>➕ Other Income 2</t>
  </si>
  <si>
    <t>🎬 OTT Subscriptions</t>
  </si>
  <si>
    <t>📚 Education / Courses</t>
  </si>
  <si>
    <t>➕ Other Savings</t>
  </si>
  <si>
    <t>TOTAL</t>
  </si>
  <si>
    <t>🏢 Society / Maintenance</t>
  </si>
  <si>
    <t>✈️ Travel / Vacation</t>
  </si>
  <si>
    <t>➕ Other Fixed Expense</t>
  </si>
  <si>
    <t>🎀 Gifts &amp; Donations</t>
  </si>
  <si>
    <t>🧺 Household Items</t>
  </si>
  <si>
    <t>➕ Other Variable Expense</t>
  </si>
  <si>
    <t>📊  MONTHLY SUMMARY</t>
  </si>
  <si>
    <t>Metric</t>
  </si>
  <si>
    <t>Status</t>
  </si>
  <si>
    <t>💵  Total Income</t>
  </si>
  <si>
    <t>🏠  Total Fixed Expenses</t>
  </si>
  <si>
    <t>🛍️  Total Variable Expenses</t>
  </si>
  <si>
    <t>🧾  Total Expenses (Fixed + Variable)</t>
  </si>
  <si>
    <t>💎  Total Savings &amp; Investments</t>
  </si>
  <si>
    <t>⚖️  Remaining Balance</t>
  </si>
  <si>
    <t>📈  Savings Rate (Savings ÷ Income)</t>
  </si>
  <si>
    <t>💰  REMAINING BALANCE
This Month</t>
  </si>
  <si>
    <t>💡 Tip: Blue numbers are editable inputs. Black text &amp; percentages auto-calculate — nothing else needs to be touched.</t>
  </si>
  <si>
    <t>✨ Premium Budget Tracker 2026 ✨</t>
  </si>
  <si>
    <t>◀  Jan</t>
  </si>
  <si>
    <t>Mar  ▶</t>
  </si>
  <si>
    <t>💖  FEBRUARY</t>
  </si>
  <si>
    <t>◀  Feb</t>
  </si>
  <si>
    <t>Apr  ▶</t>
  </si>
  <si>
    <t>🌱  MARCH</t>
  </si>
  <si>
    <t>◀  Mar</t>
  </si>
  <si>
    <t>May  ▶</t>
  </si>
  <si>
    <t>🌧️  APRIL</t>
  </si>
  <si>
    <t>◀  Apr</t>
  </si>
  <si>
    <t>Jun  ▶</t>
  </si>
  <si>
    <t>🌸  MAY</t>
  </si>
  <si>
    <t>◀  May</t>
  </si>
  <si>
    <t>Jul  ▶</t>
  </si>
  <si>
    <t>☀️  JUNE</t>
  </si>
  <si>
    <t>◀  Jun</t>
  </si>
  <si>
    <t>Aug  ▶</t>
  </si>
  <si>
    <t>🌧️  JULY</t>
  </si>
  <si>
    <t>◀  Jul</t>
  </si>
  <si>
    <t>Sep  ▶</t>
  </si>
  <si>
    <t>🌻  AUGUST</t>
  </si>
  <si>
    <t>◀  Aug</t>
  </si>
  <si>
    <t>Oct  ▶</t>
  </si>
  <si>
    <t>🍃  SEPTEMBER</t>
  </si>
  <si>
    <t>◀  Sep</t>
  </si>
  <si>
    <t>Nov  ▶</t>
  </si>
  <si>
    <t>🎆  OCTOBER</t>
  </si>
  <si>
    <t>◀  Oct</t>
  </si>
  <si>
    <t>Dec  ▶</t>
  </si>
  <si>
    <t>🪔  NOVEMBER</t>
  </si>
  <si>
    <t>◀  Nov</t>
  </si>
  <si>
    <t>Dashboard  ▶</t>
  </si>
  <si>
    <t>🎄  DECEMBER</t>
  </si>
  <si>
    <t>🏠  COVER PAGE</t>
  </si>
  <si>
    <t>✨ YOUR FINANCIAL YEAR AT A GLANCE ✨</t>
  </si>
  <si>
    <t>📊  YEARLY DASHBOARD</t>
  </si>
  <si>
    <t>FY 2026  •  Annual Financial Overview  •  Updates automatically from Jan–Dec sheets</t>
  </si>
  <si>
    <t>💵 YEARLY INCOME</t>
  </si>
  <si>
    <t>🧾 YEARLY EXPENSES</t>
  </si>
  <si>
    <t>💎 YEARLY SAVINGS</t>
  </si>
  <si>
    <t>⚖️ NET YEARLY BALANCE</t>
  </si>
  <si>
    <t>🥧  EXPENSE CATEGORY BREAKDOWN (YEARLY)</t>
  </si>
  <si>
    <t>Yearly Actual</t>
  </si>
  <si>
    <t>% Share</t>
  </si>
  <si>
    <t>📅  MONTHLY COMPARISON</t>
  </si>
  <si>
    <t>Month</t>
  </si>
  <si>
    <t>Income</t>
  </si>
  <si>
    <t>Expenses</t>
  </si>
  <si>
    <t>Savings</t>
  </si>
  <si>
    <t>Balance</t>
  </si>
  <si>
    <t>Jan</t>
  </si>
  <si>
    <t>❄️ January</t>
  </si>
  <si>
    <t>Feb</t>
  </si>
  <si>
    <t>💖 February</t>
  </si>
  <si>
    <t>Mar</t>
  </si>
  <si>
    <t>🌱 March</t>
  </si>
  <si>
    <t>Apr</t>
  </si>
  <si>
    <t>🌧️ April</t>
  </si>
  <si>
    <t>May</t>
  </si>
  <si>
    <t>🌸 May</t>
  </si>
  <si>
    <t>Jun</t>
  </si>
  <si>
    <t>☀️ June</t>
  </si>
  <si>
    <t>Jul</t>
  </si>
  <si>
    <t>🌧️ July</t>
  </si>
  <si>
    <t>Aug</t>
  </si>
  <si>
    <t>🌻 August</t>
  </si>
  <si>
    <t>Sep</t>
  </si>
  <si>
    <t>🍃 September</t>
  </si>
  <si>
    <t>Oct</t>
  </si>
  <si>
    <t>🎆 October</t>
  </si>
  <si>
    <t>Nov</t>
  </si>
  <si>
    <t>🪔 November</t>
  </si>
  <si>
    <t>Dec</t>
  </si>
  <si>
    <t>🎄 December</t>
  </si>
  <si>
    <t>AVERAGE</t>
  </si>
  <si>
    <t>🔍  QUICK MONTH LOOKUP</t>
  </si>
  <si>
    <t>Select Month:</t>
  </si>
  <si>
    <t>💵 Income</t>
  </si>
  <si>
    <t>🧾 Expenses</t>
  </si>
  <si>
    <t>💎 Savings</t>
  </si>
  <si>
    <t>⚖️ Balance</t>
  </si>
  <si>
    <t>💡  YEARLY INSIGHTS</t>
  </si>
  <si>
    <t>🏆 Highest Income Month</t>
  </si>
  <si>
    <t>⚠️ Highest Expense Month</t>
  </si>
  <si>
    <t>🌟 Best Savings Month</t>
  </si>
  <si>
    <t>📊 Avg Monthly Balance</t>
  </si>
  <si>
    <t>💡 Tip: This dashboard updates automatically — just fill in your Planned &amp; Actual numbers on each month's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</si>
</sst>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;[Red]&quot;(₹&quot;#,##0\)"/>
    <numFmt numFmtId="165" formatCode="\₹#,##0"/>
    <numFmt numFmtId="166" formatCode="0.0%"/>
  </numFmts>
  <fonts count="46" x14ac:knownFonts="1">
    <font>
      <sz val="11"/>
      <color theme="1"/>
      <name val="Calibri"/>
      <family val="2"/>
      <charset val="1"/>
    </font>
    <font>
      <b/>
      <sz val="28"/>
      <color rgb="FF1F2540"/>
      <name val="Calibri"/>
      <family val="2"/>
    </font>
    <font>
      <i/>
      <sz val="13"/>
      <color rgb="FFC9A227"/>
      <name val="Calibri"/>
      <family val="2"/>
    </font>
    <font>
      <b/>
      <sz val="14"/>
      <color rgb="FFC9A227"/>
      <name val="Calibri"/>
      <family val="2"/>
    </font>
    <font>
      <b/>
      <sz val="13"/>
      <color rgb="FFFFFFFF"/>
      <name val="Calibri"/>
      <family val="2"/>
    </font>
    <font>
      <sz val="13"/>
      <color rgb="FF2D2D34"/>
      <name val="Calibri"/>
      <family val="2"/>
    </font>
    <font>
      <b/>
      <sz val="10"/>
      <color rgb="FF1A56DB"/>
      <name val="Calibri"/>
      <family val="2"/>
    </font>
    <font>
      <sz val="10"/>
      <color rgb="FF2D2D34"/>
      <name val="Calibri"/>
      <family val="2"/>
    </font>
    <font>
      <b/>
      <sz val="10"/>
      <color rgb="FF2D2D34"/>
      <name val="Calibri"/>
      <family val="2"/>
    </font>
    <font>
      <b/>
      <sz val="10"/>
      <color rgb="FF157347"/>
      <name val="Calibri"/>
      <family val="2"/>
    </font>
    <font>
      <b/>
      <sz val="10"/>
      <color rgb="FFB3261E"/>
      <name val="Calibri"/>
      <family val="2"/>
    </font>
    <font>
      <b/>
      <sz val="10"/>
      <color rgb="FFC9A227"/>
      <name val="Calibri"/>
      <family val="2"/>
    </font>
    <font>
      <b/>
      <sz val="11"/>
      <color rgb="FFFFFFFF"/>
      <name val="Calibri"/>
      <family val="2"/>
    </font>
    <font>
      <i/>
      <sz val="9"/>
      <color rgb="FF6B6B76"/>
      <name val="Calibri"/>
      <family val="2"/>
    </font>
    <font>
      <b/>
      <sz val="10"/>
      <color rgb="FFFFFFFF"/>
      <name val="Calibri"/>
      <family val="2"/>
    </font>
    <font>
      <b/>
      <sz val="10"/>
      <color rgb="FFF4E9C8"/>
      <name val="Calibri"/>
      <family val="2"/>
    </font>
    <font>
      <b/>
      <sz val="20"/>
      <color rgb="FFFFFFFF"/>
      <name val="Calibri"/>
      <family val="2"/>
    </font>
    <font>
      <i/>
      <sz val="10"/>
      <color rgb="FFF4E9C8"/>
      <name val="Calibri"/>
      <family val="2"/>
    </font>
    <font>
      <b/>
      <sz val="9"/>
      <color rgb="FF0E9F6E"/>
      <name val="Calibri"/>
      <family val="2"/>
    </font>
    <font>
      <b/>
      <sz val="9"/>
      <color rgb="FFE2674A"/>
      <name val="Calibri"/>
      <family val="2"/>
    </font>
    <font>
      <b/>
      <sz val="9"/>
      <color rgb="FF8B5CF6"/>
      <name val="Calibri"/>
      <family val="2"/>
    </font>
    <font>
      <b/>
      <sz val="9"/>
      <color rgb="FF1F2540"/>
      <name val="Calibri"/>
      <family val="2"/>
    </font>
    <font>
      <b/>
      <sz val="15"/>
      <color rgb="FF0E9F6E"/>
      <name val="Calibri"/>
      <family val="2"/>
    </font>
    <font>
      <b/>
      <sz val="15"/>
      <color rgb="FFE2674A"/>
      <name val="Calibri"/>
      <family val="2"/>
    </font>
    <font>
      <b/>
      <sz val="15"/>
      <color rgb="FF8B5CF6"/>
      <name val="Calibri"/>
      <family val="2"/>
    </font>
    <font>
      <b/>
      <sz val="15"/>
      <color rgb="FF1F2540"/>
      <name val="Calibri"/>
      <family val="2"/>
    </font>
    <font>
      <b/>
      <sz val="12"/>
      <color rgb="FFFFFFFF"/>
      <name val="Calibri"/>
      <family val="2"/>
    </font>
    <font>
      <sz val="10"/>
      <color rgb="FF1A56DB"/>
      <name val="Calibri"/>
      <family val="2"/>
    </font>
    <font>
      <sz val="9"/>
      <color rgb="FF6B6B76"/>
      <name val="Calibri"/>
      <family val="2"/>
    </font>
    <font>
      <b/>
      <sz val="10"/>
      <color rgb="FF1F2540"/>
      <name val="Calibri"/>
      <family val="2"/>
    </font>
    <font>
      <b/>
      <sz val="11"/>
      <color rgb="FF2D2D34"/>
      <name val="Calibri"/>
      <family val="2"/>
    </font>
    <font>
      <b/>
      <sz val="13"/>
      <color rgb="FFC9A227"/>
      <name val="Calibri"/>
      <family val="2"/>
    </font>
    <font>
      <b/>
      <sz val="26"/>
      <color rgb="FFFFFFFF"/>
      <name val="Calibri"/>
      <family val="2"/>
    </font>
    <font>
      <b/>
      <sz val="13"/>
      <color rgb="FFF4E9C8"/>
      <name val="Calibri"/>
      <family val="2"/>
    </font>
    <font>
      <b/>
      <sz val="9"/>
      <color rgb="FFC9A227"/>
      <name val="Calibri"/>
      <family val="2"/>
    </font>
    <font>
      <b/>
      <sz val="22"/>
      <color rgb="FFFFFFFF"/>
      <name val="Calibri"/>
      <family val="2"/>
    </font>
    <font>
      <b/>
      <sz val="11"/>
      <color rgb="FF0E9F6E"/>
      <name val="Calibri"/>
      <family val="2"/>
    </font>
    <font>
      <b/>
      <sz val="11"/>
      <color rgb="FFE2674A"/>
      <name val="Calibri"/>
      <family val="2"/>
    </font>
    <font>
      <b/>
      <sz val="11"/>
      <color rgb="FF8B5CF6"/>
      <name val="Calibri"/>
      <family val="2"/>
    </font>
    <font>
      <b/>
      <sz val="11"/>
      <color rgb="FF1F2540"/>
      <name val="Calibri"/>
      <family val="2"/>
    </font>
    <font>
      <b/>
      <sz val="20"/>
      <color rgb="FF0E9F6E"/>
      <name val="Calibri"/>
      <family val="2"/>
    </font>
    <font>
      <b/>
      <sz val="20"/>
      <color rgb="FFE2674A"/>
      <name val="Calibri"/>
      <family val="2"/>
    </font>
    <font>
      <b/>
      <sz val="20"/>
      <color rgb="FF8B5CF6"/>
      <name val="Calibri"/>
      <family val="2"/>
    </font>
    <font>
      <b/>
      <sz val="20"/>
      <color rgb="FF1F2540"/>
      <name val="Calibri"/>
      <family val="2"/>
    </font>
    <font>
      <sz val="7"/>
      <color rgb="FFE3E3EA"/>
      <name val="Calibri"/>
      <family val="2"/>
    </font>
    <font>
      <b/>
      <sz val="11"/>
      <color rgb="FF1A56DB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2540"/>
        <bgColor rgb="FF2D2D34"/>
      </patternFill>
    </fill>
    <fill>
      <patternFill patternType="solid">
        <fgColor rgb="FFFFFFFF"/>
        <bgColor rgb="FFF9F9F9"/>
      </patternFill>
    </fill>
    <fill>
      <patternFill patternType="solid">
        <fgColor rgb="FF0E9F6E"/>
        <bgColor rgb="FF3B879C"/>
      </patternFill>
    </fill>
    <fill>
      <patternFill patternType="solid">
        <fgColor rgb="FFE2674A"/>
        <bgColor rgb="FFFF6B6B"/>
      </patternFill>
    </fill>
    <fill>
      <patternFill patternType="solid">
        <fgColor rgb="FF2E86C1"/>
        <bgColor rgb="FF3B879C"/>
      </patternFill>
    </fill>
    <fill>
      <patternFill patternType="solid">
        <fgColor rgb="FF8B5CF6"/>
        <bgColor rgb="FF775D97"/>
      </patternFill>
    </fill>
    <fill>
      <patternFill patternType="solid">
        <fgColor rgb="FFE6F8F0"/>
        <bgColor rgb="FFEAF3FB"/>
      </patternFill>
    </fill>
    <fill>
      <patternFill patternType="solid">
        <fgColor rgb="FFFDECE7"/>
        <bgColor rgb="FFFBE1DE"/>
      </patternFill>
    </fill>
    <fill>
      <patternFill patternType="solid">
        <fgColor rgb="FFF3EEFD"/>
        <bgColor rgb="FFEAF3FB"/>
      </patternFill>
    </fill>
    <fill>
      <patternFill patternType="solid">
        <fgColor rgb="FFF4E9C8"/>
        <bgColor rgb="FFFBE1DE"/>
      </patternFill>
    </fill>
    <fill>
      <patternFill patternType="solid">
        <fgColor rgb="FFEAF3FB"/>
        <bgColor rgb="FFE6F8F0"/>
      </patternFill>
    </fill>
    <fill>
      <patternFill patternType="solid">
        <fgColor rgb="FFF7F7FA"/>
        <bgColor rgb="FFF9F9F9"/>
      </patternFill>
    </fill>
    <fill>
      <patternFill patternType="solid">
        <fgColor rgb="FFC9A227"/>
        <bgColor rgb="FFE78C41"/>
      </patternFill>
    </fill>
  </fills>
  <borders count="58">
    <border>
      <left/>
      <right/>
      <top/>
      <bottom/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>
      <left style="medium">
        <color rgb="FF0E9F6E"/>
      </left>
      <right style="medium">
        <color rgb="FF0E9F6E"/>
      </right>
      <top style="medium">
        <color rgb="FF0E9F6E"/>
      </top>
      <bottom/>
      <diagonal/>
    </border>
    <border>
      <left style="medium">
        <color rgb="FFE2674A"/>
      </left>
      <right style="medium">
        <color rgb="FFE2674A"/>
      </right>
      <top style="medium">
        <color rgb="FFE2674A"/>
      </top>
      <bottom/>
      <diagonal/>
    </border>
    <border>
      <left style="medium">
        <color rgb="FF8B5CF6"/>
      </left>
      <right style="medium">
        <color rgb="FF8B5CF6"/>
      </right>
      <top style="medium">
        <color rgb="FF8B5CF6"/>
      </top>
      <bottom/>
      <diagonal/>
    </border>
    <border>
      <left style="medium">
        <color rgb="FF1F2540"/>
      </left>
      <right style="medium">
        <color rgb="FF1F2540"/>
      </right>
      <top style="medium">
        <color rgb="FF1F2540"/>
      </top>
      <bottom/>
      <diagonal/>
    </border>
    <border>
      <left style="medium">
        <color rgb="FF0E9F6E"/>
      </left>
      <right style="medium">
        <color rgb="FF0E9F6E"/>
      </right>
      <top/>
      <bottom style="medium">
        <color rgb="FF0E9F6E"/>
      </bottom>
      <diagonal/>
    </border>
    <border>
      <left style="medium">
        <color rgb="FFE2674A"/>
      </left>
      <right style="medium">
        <color rgb="FFE2674A"/>
      </right>
      <top/>
      <bottom style="medium">
        <color rgb="FFE2674A"/>
      </bottom>
      <diagonal/>
    </border>
    <border>
      <left style="medium">
        <color rgb="FF8B5CF6"/>
      </left>
      <right style="medium">
        <color rgb="FF8B5CF6"/>
      </right>
      <top/>
      <bottom style="medium">
        <color rgb="FF8B5CF6"/>
      </bottom>
      <diagonal/>
    </border>
    <border>
      <left style="medium">
        <color rgb="FF1F2540"/>
      </left>
      <right style="medium">
        <color rgb="FF1F2540"/>
      </right>
      <top/>
      <bottom style="medium">
        <color rgb="FF1F2540"/>
      </bottom>
      <diagonal/>
    </border>
    <border>
      <left style="thin">
        <color rgb="FFE3E3EA"/>
      </left>
      <right style="thin">
        <color rgb="FFE3E3EA"/>
      </right>
      <top style="thin">
        <color rgb="FFE3E3EA"/>
      </top>
      <bottom/>
      <diagonal/>
    </border>
    <border>
      <left style="thin">
        <color rgb="FFE3E3EA"/>
      </left>
      <right/>
      <top/>
      <bottom style="medium">
        <color rgb="FF0E9F6E"/>
      </bottom>
      <diagonal/>
    </border>
    <border>
      <left/>
      <right/>
      <top/>
      <bottom style="medium">
        <color rgb="FF0E9F6E"/>
      </bottom>
      <diagonal/>
    </border>
    <border>
      <left/>
      <right style="thin">
        <color rgb="FFE3E3EA"/>
      </right>
      <top/>
      <bottom style="medium">
        <color rgb="FF0E9F6E"/>
      </bottom>
      <diagonal/>
    </border>
    <border>
      <left style="thin">
        <color rgb="FFE3E3EA"/>
      </left>
      <right/>
      <top/>
      <bottom style="medium">
        <color rgb="FFE2674A"/>
      </bottom>
      <diagonal/>
    </border>
    <border>
      <left/>
      <right/>
      <top/>
      <bottom style="medium">
        <color rgb="FFE2674A"/>
      </bottom>
      <diagonal/>
    </border>
    <border>
      <left/>
      <right style="thin">
        <color rgb="FFE3E3EA"/>
      </right>
      <top/>
      <bottom style="medium">
        <color rgb="FFE2674A"/>
      </bottom>
      <diagonal/>
    </border>
    <border>
      <left style="thin">
        <color rgb="FFE3E3EA"/>
      </left>
      <right/>
      <top/>
      <bottom style="medium">
        <color rgb="FF2E86C1"/>
      </bottom>
      <diagonal/>
    </border>
    <border>
      <left/>
      <right/>
      <top/>
      <bottom style="medium">
        <color rgb="FF2E86C1"/>
      </bottom>
      <diagonal/>
    </border>
    <border>
      <left/>
      <right style="thin">
        <color rgb="FFE3E3EA"/>
      </right>
      <top/>
      <bottom style="medium">
        <color rgb="FF2E86C1"/>
      </bottom>
      <diagonal/>
    </border>
    <border>
      <left style="thin">
        <color rgb="FFE3E3EA"/>
      </left>
      <right/>
      <top/>
      <bottom style="medium">
        <color rgb="FF8B5CF6"/>
      </bottom>
      <diagonal/>
    </border>
    <border>
      <left/>
      <right/>
      <top/>
      <bottom style="medium">
        <color rgb="FF8B5CF6"/>
      </bottom>
      <diagonal/>
    </border>
    <border>
      <left/>
      <right style="thin">
        <color rgb="FFE3E3EA"/>
      </right>
      <top/>
      <bottom style="medium">
        <color rgb="FF8B5CF6"/>
      </bottom>
      <diagonal/>
    </border>
    <border>
      <left style="thin">
        <color rgb="FFE3E3EA"/>
      </left>
      <right/>
      <top/>
      <bottom style="hair">
        <color rgb="FFE3E3EA"/>
      </bottom>
      <diagonal/>
    </border>
    <border>
      <left/>
      <right/>
      <top/>
      <bottom style="hair">
        <color rgb="FFE3E3EA"/>
      </bottom>
      <diagonal/>
    </border>
    <border>
      <left/>
      <right style="thin">
        <color rgb="FFE3E3EA"/>
      </right>
      <top/>
      <bottom style="hair">
        <color rgb="FFE3E3EA"/>
      </bottom>
      <diagonal/>
    </border>
    <border>
      <left style="thin">
        <color rgb="FFE3E3EA"/>
      </left>
      <right/>
      <top style="medium">
        <color rgb="FF0E9F6E"/>
      </top>
      <bottom style="thin">
        <color rgb="FFE3E3EA"/>
      </bottom>
      <diagonal/>
    </border>
    <border>
      <left/>
      <right/>
      <top style="medium">
        <color rgb="FF0E9F6E"/>
      </top>
      <bottom style="thin">
        <color rgb="FFE3E3EA"/>
      </bottom>
      <diagonal/>
    </border>
    <border>
      <left/>
      <right style="thin">
        <color rgb="FFE3E3EA"/>
      </right>
      <top style="medium">
        <color rgb="FF0E9F6E"/>
      </top>
      <bottom style="thin">
        <color rgb="FFE3E3EA"/>
      </bottom>
      <diagonal/>
    </border>
    <border>
      <left style="thin">
        <color rgb="FFE3E3EA"/>
      </left>
      <right/>
      <top style="medium">
        <color rgb="FF8B5CF6"/>
      </top>
      <bottom style="thin">
        <color rgb="FFE3E3EA"/>
      </bottom>
      <diagonal/>
    </border>
    <border>
      <left/>
      <right/>
      <top style="medium">
        <color rgb="FF8B5CF6"/>
      </top>
      <bottom style="thin">
        <color rgb="FFE3E3EA"/>
      </bottom>
      <diagonal/>
    </border>
    <border>
      <left/>
      <right style="thin">
        <color rgb="FFE3E3EA"/>
      </right>
      <top style="medium">
        <color rgb="FF8B5CF6"/>
      </top>
      <bottom style="thin">
        <color rgb="FFE3E3EA"/>
      </bottom>
      <diagonal/>
    </border>
    <border>
      <left style="thin">
        <color rgb="FFE3E3EA"/>
      </left>
      <right/>
      <top style="medium">
        <color rgb="FFE2674A"/>
      </top>
      <bottom style="thin">
        <color rgb="FFE3E3EA"/>
      </bottom>
      <diagonal/>
    </border>
    <border>
      <left/>
      <right/>
      <top style="medium">
        <color rgb="FFE2674A"/>
      </top>
      <bottom style="thin">
        <color rgb="FFE3E3EA"/>
      </bottom>
      <diagonal/>
    </border>
    <border>
      <left/>
      <right style="thin">
        <color rgb="FFE3E3EA"/>
      </right>
      <top style="medium">
        <color rgb="FFE2674A"/>
      </top>
      <bottom style="thin">
        <color rgb="FFE3E3EA"/>
      </bottom>
      <diagonal/>
    </border>
    <border>
      <left style="thin">
        <color rgb="FFE3E3EA"/>
      </left>
      <right/>
      <top style="medium">
        <color rgb="FF2E86C1"/>
      </top>
      <bottom style="thin">
        <color rgb="FFE3E3EA"/>
      </bottom>
      <diagonal/>
    </border>
    <border>
      <left/>
      <right/>
      <top style="medium">
        <color rgb="FF2E86C1"/>
      </top>
      <bottom style="thin">
        <color rgb="FFE3E3EA"/>
      </bottom>
      <diagonal/>
    </border>
    <border>
      <left/>
      <right style="thin">
        <color rgb="FFE3E3EA"/>
      </right>
      <top style="medium">
        <color rgb="FF2E86C1"/>
      </top>
      <bottom style="thin">
        <color rgb="FFE3E3EA"/>
      </bottom>
      <diagonal/>
    </border>
    <border>
      <left style="thin">
        <color rgb="FFE3E3EA"/>
      </left>
      <right/>
      <top style="thin">
        <color rgb="FFE3E3EA"/>
      </top>
      <bottom/>
      <diagonal/>
    </border>
    <border>
      <left style="thin">
        <color rgb="FFE3E3EA"/>
      </left>
      <right/>
      <top/>
      <bottom/>
      <diagonal/>
    </border>
    <border>
      <left/>
      <right style="thin">
        <color rgb="FFE3E3EA"/>
      </right>
      <top/>
      <bottom/>
      <diagonal/>
    </border>
    <border>
      <left style="thin">
        <color rgb="FFE3E3EA"/>
      </left>
      <right/>
      <top/>
      <bottom style="thin">
        <color rgb="FFE3E3EA"/>
      </bottom>
      <diagonal/>
    </border>
    <border>
      <left/>
      <right/>
      <top/>
      <bottom style="thin">
        <color rgb="FFE3E3EA"/>
      </bottom>
      <diagonal/>
    </border>
    <border>
      <left/>
      <right style="thin">
        <color rgb="FFE3E3EA"/>
      </right>
      <top/>
      <bottom style="thin">
        <color rgb="FFE3E3EA"/>
      </bottom>
      <diagonal/>
    </border>
    <border>
      <left style="medium">
        <color rgb="FFC9A227"/>
      </left>
      <right/>
      <top style="medium">
        <color rgb="FFC9A227"/>
      </top>
      <bottom style="medium">
        <color rgb="FFC9A227"/>
      </bottom>
      <diagonal/>
    </border>
    <border>
      <left/>
      <right/>
      <top style="medium">
        <color rgb="FFC9A227"/>
      </top>
      <bottom style="medium">
        <color rgb="FFC9A227"/>
      </bottom>
      <diagonal/>
    </border>
    <border>
      <left/>
      <right style="medium">
        <color rgb="FFC9A227"/>
      </right>
      <top style="medium">
        <color rgb="FFC9A227"/>
      </top>
      <bottom style="medium">
        <color rgb="FFC9A227"/>
      </bottom>
      <diagonal/>
    </border>
    <border>
      <left style="thin">
        <color rgb="FFE3E3EA"/>
      </left>
      <right/>
      <top/>
      <bottom style="medium">
        <color rgb="FF1F2540"/>
      </bottom>
      <diagonal/>
    </border>
    <border>
      <left/>
      <right/>
      <top/>
      <bottom style="medium">
        <color rgb="FF1F2540"/>
      </bottom>
      <diagonal/>
    </border>
    <border>
      <left/>
      <right style="thin">
        <color rgb="FFE3E3EA"/>
      </right>
      <top/>
      <bottom style="medium">
        <color rgb="FF1F2540"/>
      </bottom>
      <diagonal/>
    </border>
    <border>
      <left style="thin">
        <color rgb="FF8B5CF6"/>
      </left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/>
      <diagonal/>
    </border>
    <border>
      <left style="medium">
        <color rgb="FFC9A227"/>
      </left>
      <right style="medium">
        <color rgb="FFC9A227"/>
      </right>
      <top/>
      <bottom style="medium">
        <color rgb="FFC9A227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2" borderId="0" xfId="0" applyFill="1"/>
    <xf numFmtId="0" fontId="0" fillId="3" borderId="0" xfId="0" applyFill="1"/>
    <xf numFmtId="0" fontId="8" fillId="8" borderId="11" xfId="0" applyFont="1" applyFill="1" applyBorder="1" applyAlignment="1">
      <alignment horizontal="left" vertical="center" indent="1"/>
    </xf>
    <xf numFmtId="0" fontId="8" fillId="8" borderId="12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left" vertical="center" indent="1"/>
    </xf>
    <xf numFmtId="0" fontId="8" fillId="9" borderId="15" xfId="0" applyFont="1" applyFill="1" applyBorder="1" applyAlignment="1">
      <alignment horizontal="center" vertical="center"/>
    </xf>
    <xf numFmtId="0" fontId="8" fillId="9" borderId="16" xfId="0" applyFont="1" applyFill="1" applyBorder="1" applyAlignment="1">
      <alignment horizontal="center" vertical="center"/>
    </xf>
    <xf numFmtId="0" fontId="8" fillId="12" borderId="17" xfId="0" applyFont="1" applyFill="1" applyBorder="1" applyAlignment="1">
      <alignment horizontal="left" vertical="center" indent="1"/>
    </xf>
    <xf numFmtId="0" fontId="8" fillId="12" borderId="18" xfId="0" applyFont="1" applyFill="1" applyBorder="1" applyAlignment="1">
      <alignment horizontal="center" vertical="center"/>
    </xf>
    <xf numFmtId="0" fontId="8" fillId="12" borderId="19" xfId="0" applyFont="1" applyFill="1" applyBorder="1" applyAlignment="1">
      <alignment horizontal="center" vertical="center"/>
    </xf>
    <xf numFmtId="0" fontId="8" fillId="10" borderId="20" xfId="0" applyFont="1" applyFill="1" applyBorder="1" applyAlignment="1">
      <alignment horizontal="left" vertical="center" indent="1"/>
    </xf>
    <xf numFmtId="0" fontId="8" fillId="10" borderId="21" xfId="0" applyFont="1" applyFill="1" applyBorder="1" applyAlignment="1">
      <alignment horizontal="center" vertical="center"/>
    </xf>
    <xf numFmtId="0" fontId="8" fillId="10" borderId="22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left" vertical="center" indent="1"/>
    </xf>
    <xf numFmtId="165" fontId="27" fillId="3" borderId="24" xfId="0" applyNumberFormat="1" applyFont="1" applyFill="1" applyBorder="1" applyAlignment="1">
      <alignment horizontal="right" vertical="center" indent="1"/>
    </xf>
    <xf numFmtId="166" fontId="28" fillId="3" borderId="25" xfId="0" applyNumberFormat="1" applyFont="1" applyFill="1" applyBorder="1" applyAlignment="1">
      <alignment horizontal="center" vertical="center"/>
    </xf>
    <xf numFmtId="0" fontId="7" fillId="13" borderId="23" xfId="0" applyFont="1" applyFill="1" applyBorder="1" applyAlignment="1">
      <alignment horizontal="left" vertical="center" indent="1"/>
    </xf>
    <xf numFmtId="165" fontId="27" fillId="13" borderId="24" xfId="0" applyNumberFormat="1" applyFont="1" applyFill="1" applyBorder="1" applyAlignment="1">
      <alignment horizontal="right" vertical="center" indent="1"/>
    </xf>
    <xf numFmtId="166" fontId="28" fillId="13" borderId="25" xfId="0" applyNumberFormat="1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left" vertical="center" indent="1"/>
    </xf>
    <xf numFmtId="165" fontId="14" fillId="4" borderId="27" xfId="0" applyNumberFormat="1" applyFont="1" applyFill="1" applyBorder="1" applyAlignment="1">
      <alignment horizontal="right" vertical="center" indent="1"/>
    </xf>
    <xf numFmtId="166" fontId="14" fillId="4" borderId="28" xfId="0" applyNumberFormat="1" applyFont="1" applyFill="1" applyBorder="1" applyAlignment="1">
      <alignment horizontal="center" vertical="center"/>
    </xf>
    <xf numFmtId="0" fontId="14" fillId="7" borderId="29" xfId="0" applyFont="1" applyFill="1" applyBorder="1" applyAlignment="1">
      <alignment horizontal="left" vertical="center" indent="1"/>
    </xf>
    <xf numFmtId="165" fontId="14" fillId="7" borderId="30" xfId="0" applyNumberFormat="1" applyFont="1" applyFill="1" applyBorder="1" applyAlignment="1">
      <alignment horizontal="right" vertical="center" indent="1"/>
    </xf>
    <xf numFmtId="166" fontId="14" fillId="7" borderId="31" xfId="0" applyNumberFormat="1" applyFont="1" applyFill="1" applyBorder="1" applyAlignment="1">
      <alignment horizontal="center" vertical="center"/>
    </xf>
    <xf numFmtId="0" fontId="14" fillId="5" borderId="32" xfId="0" applyFont="1" applyFill="1" applyBorder="1" applyAlignment="1">
      <alignment horizontal="left" vertical="center" indent="1"/>
    </xf>
    <xf numFmtId="165" fontId="14" fillId="5" borderId="33" xfId="0" applyNumberFormat="1" applyFont="1" applyFill="1" applyBorder="1" applyAlignment="1">
      <alignment horizontal="right" vertical="center" indent="1"/>
    </xf>
    <xf numFmtId="166" fontId="14" fillId="5" borderId="34" xfId="0" applyNumberFormat="1" applyFont="1" applyFill="1" applyBorder="1" applyAlignment="1">
      <alignment horizontal="center" vertical="center"/>
    </xf>
    <xf numFmtId="0" fontId="14" fillId="6" borderId="35" xfId="0" applyFont="1" applyFill="1" applyBorder="1" applyAlignment="1">
      <alignment horizontal="left" vertical="center" indent="1"/>
    </xf>
    <xf numFmtId="165" fontId="14" fillId="6" borderId="36" xfId="0" applyNumberFormat="1" applyFont="1" applyFill="1" applyBorder="1" applyAlignment="1">
      <alignment horizontal="right" vertical="center" indent="1"/>
    </xf>
    <xf numFmtId="166" fontId="14" fillId="6" borderId="37" xfId="0" applyNumberFormat="1" applyFont="1" applyFill="1" applyBorder="1" applyAlignment="1">
      <alignment horizontal="center" vertical="center"/>
    </xf>
    <xf numFmtId="0" fontId="29" fillId="11" borderId="0" xfId="0" applyFont="1" applyFill="1" applyBorder="1" applyAlignment="1">
      <alignment horizontal="center" vertical="center"/>
    </xf>
    <xf numFmtId="0" fontId="29" fillId="11" borderId="40" xfId="0" applyFont="1" applyFill="1" applyBorder="1" applyAlignment="1">
      <alignment horizontal="center" vertical="center"/>
    </xf>
    <xf numFmtId="164" fontId="7" fillId="3" borderId="24" xfId="0" applyNumberFormat="1" applyFont="1" applyFill="1" applyBorder="1" applyAlignment="1">
      <alignment horizontal="right" vertical="center" indent="1"/>
    </xf>
    <xf numFmtId="0" fontId="8" fillId="3" borderId="25" xfId="0" applyFont="1" applyFill="1" applyBorder="1" applyAlignment="1">
      <alignment horizontal="center" vertical="center"/>
    </xf>
    <xf numFmtId="164" fontId="7" fillId="13" borderId="24" xfId="0" applyNumberFormat="1" applyFont="1" applyFill="1" applyBorder="1" applyAlignment="1">
      <alignment horizontal="right" vertical="center" indent="1"/>
    </xf>
    <xf numFmtId="0" fontId="8" fillId="13" borderId="25" xfId="0" applyFont="1" applyFill="1" applyBorder="1" applyAlignment="1">
      <alignment horizontal="center" vertical="center"/>
    </xf>
    <xf numFmtId="164" fontId="30" fillId="13" borderId="24" xfId="0" applyNumberFormat="1" applyFont="1" applyFill="1" applyBorder="1" applyAlignment="1">
      <alignment horizontal="right" vertical="center" indent="1"/>
    </xf>
    <xf numFmtId="166" fontId="7" fillId="3" borderId="42" xfId="0" applyNumberFormat="1" applyFont="1" applyFill="1" applyBorder="1" applyAlignment="1">
      <alignment horizontal="right" vertical="center" indent="1"/>
    </xf>
    <xf numFmtId="0" fontId="8" fillId="3" borderId="43" xfId="0" applyFont="1" applyFill="1" applyBorder="1" applyAlignment="1">
      <alignment horizontal="center" vertical="center"/>
    </xf>
    <xf numFmtId="0" fontId="29" fillId="11" borderId="47" xfId="0" applyFont="1" applyFill="1" applyBorder="1" applyAlignment="1">
      <alignment horizontal="left" vertical="center" indent="1"/>
    </xf>
    <xf numFmtId="0" fontId="29" fillId="11" borderId="48" xfId="0" applyFont="1" applyFill="1" applyBorder="1" applyAlignment="1">
      <alignment horizontal="center" vertical="center"/>
    </xf>
    <xf numFmtId="0" fontId="29" fillId="11" borderId="49" xfId="0" applyFont="1" applyFill="1" applyBorder="1" applyAlignment="1">
      <alignment horizontal="center" vertical="center"/>
    </xf>
    <xf numFmtId="0" fontId="7" fillId="3" borderId="39" xfId="0" applyFont="1" applyFill="1" applyBorder="1"/>
    <xf numFmtId="165" fontId="7" fillId="3" borderId="0" xfId="0" applyNumberFormat="1" applyFont="1" applyFill="1" applyBorder="1" applyAlignment="1">
      <alignment horizontal="right" vertical="center" indent="1"/>
    </xf>
    <xf numFmtId="166" fontId="7" fillId="3" borderId="40" xfId="0" applyNumberFormat="1" applyFont="1" applyFill="1" applyBorder="1" applyAlignment="1">
      <alignment horizontal="center" vertical="center"/>
    </xf>
    <xf numFmtId="0" fontId="7" fillId="13" borderId="39" xfId="0" applyFont="1" applyFill="1" applyBorder="1"/>
    <xf numFmtId="165" fontId="7" fillId="13" borderId="0" xfId="0" applyNumberFormat="1" applyFont="1" applyFill="1" applyBorder="1" applyAlignment="1">
      <alignment horizontal="right" vertical="center" indent="1"/>
    </xf>
    <xf numFmtId="166" fontId="7" fillId="13" borderId="40" xfId="0" applyNumberFormat="1" applyFont="1" applyFill="1" applyBorder="1" applyAlignment="1">
      <alignment horizontal="center" vertical="center"/>
    </xf>
    <xf numFmtId="0" fontId="14" fillId="2" borderId="41" xfId="0" applyFont="1" applyFill="1" applyBorder="1" applyAlignment="1">
      <alignment horizontal="left" vertical="center" indent="1"/>
    </xf>
    <xf numFmtId="165" fontId="14" fillId="2" borderId="42" xfId="0" applyNumberFormat="1" applyFont="1" applyFill="1" applyBorder="1" applyAlignment="1">
      <alignment horizontal="right" vertical="center" indent="1"/>
    </xf>
    <xf numFmtId="166" fontId="14" fillId="2" borderId="43" xfId="0" applyNumberFormat="1" applyFont="1" applyFill="1" applyBorder="1" applyAlignment="1">
      <alignment horizontal="center" vertical="center"/>
    </xf>
    <xf numFmtId="0" fontId="44" fillId="0" borderId="0" xfId="0" applyFont="1"/>
    <xf numFmtId="0" fontId="7" fillId="3" borderId="39" xfId="0" applyFont="1" applyFill="1" applyBorder="1" applyAlignment="1">
      <alignment horizontal="left" vertical="center" indent="1"/>
    </xf>
    <xf numFmtId="164" fontId="7" fillId="3" borderId="0" xfId="0" applyNumberFormat="1" applyFont="1" applyFill="1" applyBorder="1" applyAlignment="1">
      <alignment horizontal="right" vertical="center" indent="1"/>
    </xf>
    <xf numFmtId="164" fontId="7" fillId="3" borderId="40" xfId="0" applyNumberFormat="1" applyFont="1" applyFill="1" applyBorder="1" applyAlignment="1">
      <alignment horizontal="right" vertical="center" indent="1"/>
    </xf>
    <xf numFmtId="0" fontId="7" fillId="13" borderId="39" xfId="0" applyFont="1" applyFill="1" applyBorder="1" applyAlignment="1">
      <alignment horizontal="left" vertical="center" indent="1"/>
    </xf>
    <xf numFmtId="164" fontId="7" fillId="13" borderId="0" xfId="0" applyNumberFormat="1" applyFont="1" applyFill="1" applyBorder="1" applyAlignment="1">
      <alignment horizontal="right" vertical="center" indent="1"/>
    </xf>
    <xf numFmtId="164" fontId="7" fillId="13" borderId="40" xfId="0" applyNumberFormat="1" applyFont="1" applyFill="1" applyBorder="1" applyAlignment="1">
      <alignment horizontal="right" vertical="center" indent="1"/>
    </xf>
    <xf numFmtId="0" fontId="14" fillId="2" borderId="41" xfId="0" applyFont="1" applyFill="1" applyBorder="1"/>
    <xf numFmtId="164" fontId="14" fillId="2" borderId="42" xfId="0" applyNumberFormat="1" applyFont="1" applyFill="1" applyBorder="1" applyAlignment="1">
      <alignment horizontal="right" vertical="center" indent="1"/>
    </xf>
    <xf numFmtId="164" fontId="14" fillId="2" borderId="43" xfId="0" applyNumberFormat="1" applyFont="1" applyFill="1" applyBorder="1" applyAlignment="1">
      <alignment horizontal="right" vertical="center" indent="1"/>
    </xf>
    <xf numFmtId="0" fontId="8" fillId="0" borderId="51" xfId="0" applyFont="1" applyBorder="1" applyAlignment="1">
      <alignment horizontal="left" vertical="center" indent="1"/>
    </xf>
    <xf numFmtId="0" fontId="0" fillId="0" borderId="0" xfId="0" applyBorder="1"/>
    <xf numFmtId="0" fontId="45" fillId="11" borderId="1" xfId="0" applyFont="1" applyFill="1" applyBorder="1" applyAlignment="1">
      <alignment horizontal="center" vertical="center"/>
    </xf>
    <xf numFmtId="0" fontId="0" fillId="0" borderId="52" xfId="0" applyBorder="1"/>
    <xf numFmtId="0" fontId="7" fillId="3" borderId="51" xfId="0" applyFont="1" applyFill="1" applyBorder="1" applyAlignment="1">
      <alignment horizontal="left" vertical="center" indent="1"/>
    </xf>
    <xf numFmtId="164" fontId="38" fillId="3" borderId="0" xfId="0" applyNumberFormat="1" applyFont="1" applyFill="1" applyBorder="1" applyAlignment="1">
      <alignment horizontal="center" vertical="center"/>
    </xf>
    <xf numFmtId="0" fontId="7" fillId="13" borderId="51" xfId="0" applyFont="1" applyFill="1" applyBorder="1" applyAlignment="1">
      <alignment horizontal="left" vertical="center" indent="1"/>
    </xf>
    <xf numFmtId="164" fontId="38" fillId="13" borderId="0" xfId="0" applyNumberFormat="1" applyFont="1" applyFill="1" applyBorder="1" applyAlignment="1">
      <alignment horizontal="center" vertical="center"/>
    </xf>
    <xf numFmtId="0" fontId="7" fillId="13" borderId="53" xfId="0" applyFont="1" applyFill="1" applyBorder="1" applyAlignment="1">
      <alignment horizontal="left" vertical="center" indent="1"/>
    </xf>
    <xf numFmtId="0" fontId="0" fillId="0" borderId="54" xfId="0" applyBorder="1"/>
    <xf numFmtId="164" fontId="38" fillId="13" borderId="54" xfId="0" applyNumberFormat="1" applyFont="1" applyFill="1" applyBorder="1" applyAlignment="1">
      <alignment horizontal="center" vertical="center"/>
    </xf>
    <xf numFmtId="0" fontId="0" fillId="0" borderId="55" xfId="0" applyBorder="1"/>
    <xf numFmtId="0" fontId="13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6" borderId="0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left" vertical="center" indent="1"/>
    </xf>
    <xf numFmtId="0" fontId="11" fillId="3" borderId="0" xfId="0" applyFont="1" applyFill="1" applyBorder="1" applyAlignment="1">
      <alignment horizontal="left" vertical="center" indent="1"/>
    </xf>
    <xf numFmtId="0" fontId="8" fillId="3" borderId="0" xfId="0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 indent="1"/>
    </xf>
    <xf numFmtId="164" fontId="32" fillId="2" borderId="45" xfId="0" applyNumberFormat="1" applyFont="1" applyFill="1" applyBorder="1" applyAlignment="1">
      <alignment horizontal="center" vertical="center"/>
    </xf>
    <xf numFmtId="0" fontId="33" fillId="2" borderId="46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7" fillId="13" borderId="23" xfId="0" applyFont="1" applyFill="1" applyBorder="1" applyAlignment="1">
      <alignment horizontal="left" vertical="center" indent="1"/>
    </xf>
    <xf numFmtId="0" fontId="7" fillId="3" borderId="23" xfId="0" applyFont="1" applyFill="1" applyBorder="1" applyAlignment="1">
      <alignment horizontal="left" vertical="center" indent="1"/>
    </xf>
    <xf numFmtId="0" fontId="8" fillId="13" borderId="23" xfId="0" applyFont="1" applyFill="1" applyBorder="1" applyAlignment="1">
      <alignment horizontal="left" vertical="center" indent="1"/>
    </xf>
    <xf numFmtId="0" fontId="7" fillId="3" borderId="41" xfId="0" applyFont="1" applyFill="1" applyBorder="1" applyAlignment="1">
      <alignment horizontal="left" vertical="center" indent="1"/>
    </xf>
    <xf numFmtId="0" fontId="31" fillId="2" borderId="44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/>
    </xf>
    <xf numFmtId="0" fontId="29" fillId="11" borderId="39" xfId="0" applyFont="1" applyFill="1" applyBorder="1" applyAlignment="1">
      <alignment horizontal="left" vertical="center" indent="1"/>
    </xf>
    <xf numFmtId="164" fontId="22" fillId="8" borderId="6" xfId="0" applyNumberFormat="1" applyFont="1" applyFill="1" applyBorder="1" applyAlignment="1">
      <alignment horizontal="center" vertical="center"/>
    </xf>
    <xf numFmtId="164" fontId="23" fillId="9" borderId="7" xfId="0" applyNumberFormat="1" applyFont="1" applyFill="1" applyBorder="1" applyAlignment="1">
      <alignment horizontal="center" vertical="center"/>
    </xf>
    <xf numFmtId="164" fontId="24" fillId="10" borderId="8" xfId="0" applyNumberFormat="1" applyFont="1" applyFill="1" applyBorder="1" applyAlignment="1">
      <alignment horizontal="center" vertical="center"/>
    </xf>
    <xf numFmtId="164" fontId="25" fillId="11" borderId="9" xfId="0" applyNumberFormat="1" applyFont="1" applyFill="1" applyBorder="1" applyAlignment="1">
      <alignment horizontal="center" vertical="center"/>
    </xf>
    <xf numFmtId="0" fontId="26" fillId="4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left" vertical="center" indent="1"/>
    </xf>
    <xf numFmtId="0" fontId="18" fillId="8" borderId="2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21" fillId="11" borderId="5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 indent="1"/>
    </xf>
    <xf numFmtId="0" fontId="25" fillId="3" borderId="57" xfId="0" applyFont="1" applyFill="1" applyBorder="1" applyAlignment="1">
      <alignment horizontal="center" vertical="center"/>
    </xf>
    <xf numFmtId="164" fontId="25" fillId="3" borderId="57" xfId="0" applyNumberFormat="1" applyFont="1" applyFill="1" applyBorder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12" fillId="7" borderId="5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29" fillId="11" borderId="56" xfId="0" applyFont="1" applyFill="1" applyBorder="1" applyAlignment="1">
      <alignment horizontal="center" vertical="center"/>
    </xf>
    <xf numFmtId="164" fontId="40" fillId="8" borderId="6" xfId="0" applyNumberFormat="1" applyFont="1" applyFill="1" applyBorder="1" applyAlignment="1">
      <alignment horizontal="center" vertical="center"/>
    </xf>
    <xf numFmtId="164" fontId="41" fillId="9" borderId="7" xfId="0" applyNumberFormat="1" applyFont="1" applyFill="1" applyBorder="1" applyAlignment="1">
      <alignment horizontal="center" vertical="center"/>
    </xf>
    <xf numFmtId="164" fontId="42" fillId="10" borderId="8" xfId="0" applyNumberFormat="1" applyFont="1" applyFill="1" applyBorder="1" applyAlignment="1">
      <alignment horizontal="center" vertical="center"/>
    </xf>
    <xf numFmtId="164" fontId="43" fillId="14" borderId="9" xfId="0" applyNumberFormat="1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left" vertical="center" indent="1"/>
    </xf>
    <xf numFmtId="0" fontId="36" fillId="8" borderId="2" xfId="0" applyFont="1" applyFill="1" applyBorder="1" applyAlignment="1">
      <alignment horizontal="center" vertical="center"/>
    </xf>
    <xf numFmtId="0" fontId="37" fillId="9" borderId="3" xfId="0" applyFont="1" applyFill="1" applyBorder="1" applyAlignment="1">
      <alignment horizontal="center" vertical="center"/>
    </xf>
    <xf numFmtId="0" fontId="38" fillId="10" borderId="4" xfId="0" applyFont="1" applyFill="1" applyBorder="1" applyAlignment="1">
      <alignment horizontal="center" vertical="center"/>
    </xf>
    <xf numFmtId="0" fontId="39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145">
    <dxf>
      <font>
        <b/>
        <color rgb="FFB3261E"/>
        <name val="Calibri"/>
        <charset val="1"/>
      </font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b/>
        <color rgb="FFC9A227"/>
        <name val="Calibri"/>
        <charset val="1"/>
      </font>
    </dxf>
    <dxf>
      <font>
        <b/>
        <color rgb="FF157347"/>
        <name val="Calibri"/>
        <charset val="1"/>
      </font>
    </dxf>
    <dxf>
      <font>
        <b/>
        <color rgb="FFB3261E"/>
        <name val="Calibri"/>
        <charset val="1"/>
      </font>
    </dxf>
    <dxf>
      <font>
        <b/>
        <sz val="26"/>
        <color rgb="FFFF6B6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  <dxf>
      <font>
        <b/>
        <color rgb="FFB3261E"/>
        <name val="Calibri"/>
        <charset val="1"/>
      </font>
      <fill>
        <patternFill>
          <bgColor rgb="FFFBE1DE"/>
        </patternFill>
      </fill>
    </dxf>
    <dxf>
      <font>
        <color rgb="FFB8860B"/>
        <name val="Calibri"/>
        <charset val="1"/>
      </font>
    </dxf>
    <dxf>
      <font>
        <b/>
        <color rgb="FF157347"/>
        <name val="Calibri"/>
        <charset val="1"/>
      </font>
      <fill>
        <patternFill>
          <bgColor rgb="FFD9F2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27637"/>
      <rgbColor rgb="FFFBE1DE"/>
      <rgbColor rgb="FF0000FF"/>
      <rgbColor rgb="FFCCDAB7"/>
      <rgbColor rgb="FFFDECE7"/>
      <rgbColor rgb="FFE3E3EA"/>
      <rgbColor rgb="FFB8860B"/>
      <rgbColor rgb="FF3B879C"/>
      <rgbColor rgb="FF000080"/>
      <rgbColor rgb="FF7A9346"/>
      <rgbColor rgb="FF8B5CF6"/>
      <rgbColor rgb="FF157347"/>
      <rgbColor rgb="FFC2BACF"/>
      <rgbColor rgb="FF878787"/>
      <rgbColor rgb="FF7E9BC7"/>
      <rgbColor rgb="FF973F3C"/>
      <rgbColor rgb="FFF9F9F9"/>
      <rgbColor rgb="FFE6F8F0"/>
      <rgbColor rgb="FF6B6B76"/>
      <rgbColor rgb="FFFF6B6B"/>
      <rgbColor rgb="FF1A56DB"/>
      <rgbColor rgb="FFD9D9D9"/>
      <rgbColor rgb="FF000080"/>
      <rgbColor rgb="FFF7F7FA"/>
      <rgbColor rgb="FFADC683"/>
      <rgbColor rgb="FFF3EEFD"/>
      <rgbColor rgb="FF800080"/>
      <rgbColor rgb="FF800000"/>
      <rgbColor rgb="FF2E86C1"/>
      <rgbColor rgb="FF0000FF"/>
      <rgbColor rgb="FF7CBACF"/>
      <rgbColor rgb="FFEAF3FB"/>
      <rgbColor rgb="FFD9F2E3"/>
      <rgbColor rgb="FFF4E9C8"/>
      <rgbColor rgb="FFB5C3DB"/>
      <rgbColor rgb="FFF8AA7A"/>
      <rgbColor rgb="FFCA7E7D"/>
      <rgbColor rgb="FFDDB5B5"/>
      <rgbColor rgb="FF4978B1"/>
      <rgbColor rgb="FF46A1B9"/>
      <rgbColor rgb="FF91AF53"/>
      <rgbColor rgb="FFC9A227"/>
      <rgbColor rgb="FFE78C41"/>
      <rgbColor rgb="FFE2674A"/>
      <rgbColor rgb="FF775D97"/>
      <rgbColor rgb="FF9A89B2"/>
      <rgbColor rgb="FF1F2540"/>
      <rgbColor rgb="FF0E9F6E"/>
      <rgbColor rgb="FF4F81BD"/>
      <rgbColor rgb="FF3E6595"/>
      <rgbColor rgb="FFB3261E"/>
      <rgbColor rgb="FFB34A48"/>
      <rgbColor rgb="FF654E7F"/>
      <rgbColor rgb="FF2D2D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Yearly Expense Breakdown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Dashboard!$C$11</c:f>
              <c:strCache>
                <c:ptCount val="1"/>
                <c:pt idx="0">
                  <c:v>Yearly Actual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3E659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BAC2-4209-8E59-62DF1B16D020}"/>
              </c:ext>
            </c:extLst>
          </c:dPt>
          <c:dPt>
            <c:idx val="1"/>
            <c:bubble3D val="0"/>
            <c:spPr>
              <a:solidFill>
                <a:srgbClr val="973F3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AC2-4209-8E59-62DF1B16D020}"/>
              </c:ext>
            </c:extLst>
          </c:dPt>
          <c:dPt>
            <c:idx val="2"/>
            <c:bubble3D val="0"/>
            <c:spPr>
              <a:solidFill>
                <a:srgbClr val="7A934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BAC2-4209-8E59-62DF1B16D020}"/>
              </c:ext>
            </c:extLst>
          </c:dPt>
          <c:dPt>
            <c:idx val="3"/>
            <c:bubble3D val="0"/>
            <c:spPr>
              <a:solidFill>
                <a:srgbClr val="654E7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BAC2-4209-8E59-62DF1B16D020}"/>
              </c:ext>
            </c:extLst>
          </c:dPt>
          <c:dPt>
            <c:idx val="4"/>
            <c:bubble3D val="0"/>
            <c:spPr>
              <a:solidFill>
                <a:srgbClr val="3B879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BAC2-4209-8E59-62DF1B16D020}"/>
              </c:ext>
            </c:extLst>
          </c:dPt>
          <c:dPt>
            <c:idx val="5"/>
            <c:bubble3D val="0"/>
            <c:spPr>
              <a:solidFill>
                <a:srgbClr val="C2763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BAC2-4209-8E59-62DF1B16D020}"/>
              </c:ext>
            </c:extLst>
          </c:dPt>
          <c:dPt>
            <c:idx val="6"/>
            <c:bubble3D val="0"/>
            <c:spPr>
              <a:solidFill>
                <a:srgbClr val="4978B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BAC2-4209-8E59-62DF1B16D020}"/>
              </c:ext>
            </c:extLst>
          </c:dPt>
          <c:dPt>
            <c:idx val="7"/>
            <c:bubble3D val="0"/>
            <c:spPr>
              <a:solidFill>
                <a:srgbClr val="B34A4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BAC2-4209-8E59-62DF1B16D020}"/>
              </c:ext>
            </c:extLst>
          </c:dPt>
          <c:dPt>
            <c:idx val="8"/>
            <c:bubble3D val="0"/>
            <c:spPr>
              <a:solidFill>
                <a:srgbClr val="91AF5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BAC2-4209-8E59-62DF1B16D020}"/>
              </c:ext>
            </c:extLst>
          </c:dPt>
          <c:dPt>
            <c:idx val="9"/>
            <c:bubble3D val="0"/>
            <c:spPr>
              <a:solidFill>
                <a:srgbClr val="775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BAC2-4209-8E59-62DF1B16D020}"/>
              </c:ext>
            </c:extLst>
          </c:dPt>
          <c:dPt>
            <c:idx val="10"/>
            <c:bubble3D val="0"/>
            <c:spPr>
              <a:solidFill>
                <a:srgbClr val="46A1B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BAC2-4209-8E59-62DF1B16D020}"/>
              </c:ext>
            </c:extLst>
          </c:dPt>
          <c:dPt>
            <c:idx val="11"/>
            <c:bubble3D val="0"/>
            <c:spPr>
              <a:solidFill>
                <a:srgbClr val="E78C4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BAC2-4209-8E59-62DF1B16D020}"/>
              </c:ext>
            </c:extLst>
          </c:dPt>
          <c:dPt>
            <c:idx val="12"/>
            <c:bubble3D val="0"/>
            <c:spPr>
              <a:solidFill>
                <a:srgbClr val="7E9BC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BAC2-4209-8E59-62DF1B16D020}"/>
              </c:ext>
            </c:extLst>
          </c:dPt>
          <c:dPt>
            <c:idx val="13"/>
            <c:bubble3D val="0"/>
            <c:spPr>
              <a:solidFill>
                <a:srgbClr val="CA7E7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BAC2-4209-8E59-62DF1B16D020}"/>
              </c:ext>
            </c:extLst>
          </c:dPt>
          <c:dPt>
            <c:idx val="14"/>
            <c:bubble3D val="0"/>
            <c:spPr>
              <a:solidFill>
                <a:srgbClr val="ADC68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BAC2-4209-8E59-62DF1B16D020}"/>
              </c:ext>
            </c:extLst>
          </c:dPt>
          <c:dPt>
            <c:idx val="15"/>
            <c:bubble3D val="0"/>
            <c:spPr>
              <a:solidFill>
                <a:srgbClr val="9A89B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BAC2-4209-8E59-62DF1B16D020}"/>
              </c:ext>
            </c:extLst>
          </c:dPt>
          <c:dPt>
            <c:idx val="16"/>
            <c:bubble3D val="0"/>
            <c:spPr>
              <a:solidFill>
                <a:srgbClr val="7CBAC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BAC2-4209-8E59-62DF1B16D020}"/>
              </c:ext>
            </c:extLst>
          </c:dPt>
          <c:dPt>
            <c:idx val="17"/>
            <c:bubble3D val="0"/>
            <c:spPr>
              <a:solidFill>
                <a:srgbClr val="F8AA7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BAC2-4209-8E59-62DF1B16D020}"/>
              </c:ext>
            </c:extLst>
          </c:dPt>
          <c:dPt>
            <c:idx val="18"/>
            <c:bubble3D val="0"/>
            <c:spPr>
              <a:solidFill>
                <a:srgbClr val="B5C3D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BAC2-4209-8E59-62DF1B16D020}"/>
              </c:ext>
            </c:extLst>
          </c:dPt>
          <c:dPt>
            <c:idx val="19"/>
            <c:bubble3D val="0"/>
            <c:spPr>
              <a:solidFill>
                <a:srgbClr val="DDB5B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BAC2-4209-8E59-62DF1B16D020}"/>
              </c:ext>
            </c:extLst>
          </c:dPt>
          <c:dPt>
            <c:idx val="20"/>
            <c:bubble3D val="0"/>
            <c:spPr>
              <a:solidFill>
                <a:srgbClr val="CCDAB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BAC2-4209-8E59-62DF1B16D020}"/>
              </c:ext>
            </c:extLst>
          </c:dPt>
          <c:dPt>
            <c:idx val="21"/>
            <c:bubble3D val="0"/>
            <c:spPr>
              <a:solidFill>
                <a:srgbClr val="C2BAC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BAC2-4209-8E59-62DF1B16D02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AC2-4209-8E59-62DF1B16D02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AC2-4209-8E59-62DF1B16D02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AC2-4209-8E59-62DF1B16D02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AC2-4209-8E59-62DF1B16D02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AC2-4209-8E59-62DF1B16D02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AC2-4209-8E59-62DF1B16D02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AC2-4209-8E59-62DF1B16D02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AC2-4209-8E59-62DF1B16D020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AC2-4209-8E59-62DF1B16D020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AC2-4209-8E59-62DF1B16D02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AC2-4209-8E59-62DF1B16D020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AC2-4209-8E59-62DF1B16D020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AC2-4209-8E59-62DF1B16D02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AC2-4209-8E59-62DF1B16D020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AC2-4209-8E59-62DF1B16D020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AC2-4209-8E59-62DF1B16D020}"/>
                </c:ext>
              </c:extLst>
            </c:dLbl>
            <c:dLbl>
              <c:idx val="1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AC2-4209-8E59-62DF1B16D020}"/>
                </c:ext>
              </c:extLst>
            </c:dLbl>
            <c:dLbl>
              <c:idx val="1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AC2-4209-8E59-62DF1B16D020}"/>
                </c:ext>
              </c:extLst>
            </c:dLbl>
            <c:dLbl>
              <c:idx val="1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AC2-4209-8E59-62DF1B16D020}"/>
                </c:ext>
              </c:extLst>
            </c:dLbl>
            <c:dLbl>
              <c:idx val="1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AC2-4209-8E59-62DF1B16D020}"/>
                </c:ext>
              </c:extLst>
            </c:dLbl>
            <c:dLbl>
              <c:idx val="2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AC2-4209-8E59-62DF1B16D020}"/>
                </c:ext>
              </c:extLst>
            </c:dLbl>
            <c:dLbl>
              <c:idx val="2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AC2-4209-8E59-62DF1B16D0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Dashboard!$B$12:$B$33</c:f>
              <c:strCache>
                <c:ptCount val="22"/>
                <c:pt idx="0">
                  <c:v>🏠 Rent / Home Loan EMI</c:v>
                </c:pt>
                <c:pt idx="1">
                  <c:v>💡 Electricity Bill</c:v>
                </c:pt>
                <c:pt idx="2">
                  <c:v>🚰 Water Bill</c:v>
                </c:pt>
                <c:pt idx="3">
                  <c:v>🌐 Internet / WiFi</c:v>
                </c:pt>
                <c:pt idx="4">
                  <c:v>📱 Mobile Recharge</c:v>
                </c:pt>
                <c:pt idx="5">
                  <c:v>🛡️ Insurance Premium</c:v>
                </c:pt>
                <c:pt idx="6">
                  <c:v>🚗 Car / Vehicle EMI</c:v>
                </c:pt>
                <c:pt idx="7">
                  <c:v>🎬 OTT Subscriptions</c:v>
                </c:pt>
                <c:pt idx="8">
                  <c:v>🏢 Society / Maintenance</c:v>
                </c:pt>
                <c:pt idx="9">
                  <c:v>➕ Other Fixed Expense</c:v>
                </c:pt>
                <c:pt idx="10">
                  <c:v>🛒 Groceries</c:v>
                </c:pt>
                <c:pt idx="11">
                  <c:v>🍽️ Eating Out / Dining</c:v>
                </c:pt>
                <c:pt idx="12">
                  <c:v>⛽ Transport / Fuel</c:v>
                </c:pt>
                <c:pt idx="13">
                  <c:v>🛍️ Shopping / Clothing</c:v>
                </c:pt>
                <c:pt idx="14">
                  <c:v>🎮 Entertainment</c:v>
                </c:pt>
                <c:pt idx="15">
                  <c:v>💇 Personal Care</c:v>
                </c:pt>
                <c:pt idx="16">
                  <c:v>🏥 Health / Medical</c:v>
                </c:pt>
                <c:pt idx="17">
                  <c:v>📚 Education / Courses</c:v>
                </c:pt>
                <c:pt idx="18">
                  <c:v>✈️ Travel / Vacation</c:v>
                </c:pt>
                <c:pt idx="19">
                  <c:v>🎀 Gifts &amp; Donations</c:v>
                </c:pt>
                <c:pt idx="20">
                  <c:v>🧺 Household Items</c:v>
                </c:pt>
                <c:pt idx="21">
                  <c:v>➕ Other Variable Expense</c:v>
                </c:pt>
              </c:strCache>
            </c:strRef>
          </c:cat>
          <c:val>
            <c:numRef>
              <c:f>Dashboard!$C$12:$C$33</c:f>
              <c:numCache>
                <c:formatCode>\₹#,##0</c:formatCode>
                <c:ptCount val="22"/>
                <c:pt idx="0">
                  <c:v>180150</c:v>
                </c:pt>
                <c:pt idx="1">
                  <c:v>30305</c:v>
                </c:pt>
                <c:pt idx="2">
                  <c:v>3607</c:v>
                </c:pt>
                <c:pt idx="3">
                  <c:v>9604</c:v>
                </c:pt>
                <c:pt idx="4">
                  <c:v>4794</c:v>
                </c:pt>
                <c:pt idx="5">
                  <c:v>14424</c:v>
                </c:pt>
                <c:pt idx="6">
                  <c:v>72000</c:v>
                </c:pt>
                <c:pt idx="7">
                  <c:v>5989</c:v>
                </c:pt>
                <c:pt idx="8">
                  <c:v>18020</c:v>
                </c:pt>
                <c:pt idx="9">
                  <c:v>0</c:v>
                </c:pt>
                <c:pt idx="10">
                  <c:v>72960</c:v>
                </c:pt>
                <c:pt idx="11">
                  <c:v>33033</c:v>
                </c:pt>
                <c:pt idx="12">
                  <c:v>24380</c:v>
                </c:pt>
                <c:pt idx="13">
                  <c:v>46890</c:v>
                </c:pt>
                <c:pt idx="14">
                  <c:v>12220</c:v>
                </c:pt>
                <c:pt idx="15">
                  <c:v>9744</c:v>
                </c:pt>
                <c:pt idx="16">
                  <c:v>12140</c:v>
                </c:pt>
                <c:pt idx="17">
                  <c:v>0</c:v>
                </c:pt>
                <c:pt idx="18">
                  <c:v>33725</c:v>
                </c:pt>
                <c:pt idx="19">
                  <c:v>9996</c:v>
                </c:pt>
                <c:pt idx="20">
                  <c:v>8540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BAC2-4209-8E59-62DF1B16D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Income vs Expenses vs Savings — Month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Dashboard!$C$37</c:f>
              <c:strCache>
                <c:ptCount val="1"/>
                <c:pt idx="0">
                  <c:v>Income</c:v>
                </c:pt>
              </c:strCache>
            </c:strRef>
          </c:tx>
          <c:spPr>
            <a:solidFill>
              <a:srgbClr val="0E9F6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Dashboard!$B$38:$B$49</c:f>
              <c:strCache>
                <c:ptCount val="12"/>
                <c:pt idx="0">
                  <c:v>❄️ January</c:v>
                </c:pt>
                <c:pt idx="1">
                  <c:v>💖 February</c:v>
                </c:pt>
                <c:pt idx="2">
                  <c:v>🌱 March</c:v>
                </c:pt>
                <c:pt idx="3">
                  <c:v>🌧️ April</c:v>
                </c:pt>
                <c:pt idx="4">
                  <c:v>🌸 May</c:v>
                </c:pt>
                <c:pt idx="5">
                  <c:v>☀️ June</c:v>
                </c:pt>
                <c:pt idx="6">
                  <c:v>🌧️ July</c:v>
                </c:pt>
                <c:pt idx="7">
                  <c:v>🌻 August</c:v>
                </c:pt>
                <c:pt idx="8">
                  <c:v>🍃 September</c:v>
                </c:pt>
                <c:pt idx="9">
                  <c:v>🎆 October</c:v>
                </c:pt>
                <c:pt idx="10">
                  <c:v>🪔 November</c:v>
                </c:pt>
                <c:pt idx="11">
                  <c:v>🎄 December</c:v>
                </c:pt>
              </c:strCache>
            </c:strRef>
          </c:cat>
          <c:val>
            <c:numRef>
              <c:f>Dashboard!$C$38:$C$49</c:f>
              <c:numCache>
                <c:formatCode>\₹#,##0;[Red]"(₹"#,##0\)</c:formatCode>
                <c:ptCount val="12"/>
                <c:pt idx="0">
                  <c:v>72200</c:v>
                </c:pt>
                <c:pt idx="1">
                  <c:v>72200</c:v>
                </c:pt>
                <c:pt idx="2">
                  <c:v>72200</c:v>
                </c:pt>
                <c:pt idx="3">
                  <c:v>74200</c:v>
                </c:pt>
                <c:pt idx="4">
                  <c:v>74200</c:v>
                </c:pt>
                <c:pt idx="5">
                  <c:v>74200</c:v>
                </c:pt>
                <c:pt idx="6">
                  <c:v>86200</c:v>
                </c:pt>
                <c:pt idx="7">
                  <c:v>76200</c:v>
                </c:pt>
                <c:pt idx="8">
                  <c:v>76200</c:v>
                </c:pt>
                <c:pt idx="9">
                  <c:v>83200</c:v>
                </c:pt>
                <c:pt idx="10">
                  <c:v>78200</c:v>
                </c:pt>
                <c:pt idx="11">
                  <c:v>93200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5-45E8-89B7-C605920D0C45}"/>
            </c:ext>
          </c:extLst>
        </c:ser>
        <c:ser>
          <c:idx val="1"/>
          <c:order val="1"/>
          <c:tx>
            <c:strRef>
              <c:f>Dashboard!$D$37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E267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Dashboard!$B$38:$B$49</c:f>
              <c:strCache>
                <c:ptCount val="12"/>
                <c:pt idx="0">
                  <c:v>❄️ January</c:v>
                </c:pt>
                <c:pt idx="1">
                  <c:v>💖 February</c:v>
                </c:pt>
                <c:pt idx="2">
                  <c:v>🌱 March</c:v>
                </c:pt>
                <c:pt idx="3">
                  <c:v>🌧️ April</c:v>
                </c:pt>
                <c:pt idx="4">
                  <c:v>🌸 May</c:v>
                </c:pt>
                <c:pt idx="5">
                  <c:v>☀️ June</c:v>
                </c:pt>
                <c:pt idx="6">
                  <c:v>🌧️ July</c:v>
                </c:pt>
                <c:pt idx="7">
                  <c:v>🌻 August</c:v>
                </c:pt>
                <c:pt idx="8">
                  <c:v>🍃 September</c:v>
                </c:pt>
                <c:pt idx="9">
                  <c:v>🎆 October</c:v>
                </c:pt>
                <c:pt idx="10">
                  <c:v>🪔 November</c:v>
                </c:pt>
                <c:pt idx="11">
                  <c:v>🎄 December</c:v>
                </c:pt>
              </c:strCache>
            </c:strRef>
          </c:cat>
          <c:val>
            <c:numRef>
              <c:f>Dashboard!$D$38:$D$49</c:f>
              <c:numCache>
                <c:formatCode>\₹#,##0;[Red]"(₹"#,##0\)</c:formatCode>
                <c:ptCount val="12"/>
                <c:pt idx="0">
                  <c:v>47074</c:v>
                </c:pt>
                <c:pt idx="1">
                  <c:v>47267</c:v>
                </c:pt>
                <c:pt idx="2">
                  <c:v>46944</c:v>
                </c:pt>
                <c:pt idx="3">
                  <c:v>47821</c:v>
                </c:pt>
                <c:pt idx="4">
                  <c:v>55125</c:v>
                </c:pt>
                <c:pt idx="5">
                  <c:v>47893</c:v>
                </c:pt>
                <c:pt idx="6">
                  <c:v>47550</c:v>
                </c:pt>
                <c:pt idx="7">
                  <c:v>47737</c:v>
                </c:pt>
                <c:pt idx="8">
                  <c:v>47010</c:v>
                </c:pt>
                <c:pt idx="9">
                  <c:v>61539</c:v>
                </c:pt>
                <c:pt idx="10">
                  <c:v>51486</c:v>
                </c:pt>
                <c:pt idx="11">
                  <c:v>55075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5-45E8-89B7-C605920D0C45}"/>
            </c:ext>
          </c:extLst>
        </c:ser>
        <c:ser>
          <c:idx val="2"/>
          <c:order val="2"/>
          <c:tx>
            <c:strRef>
              <c:f>Dashboard!$E$37</c:f>
              <c:strCache>
                <c:ptCount val="1"/>
                <c:pt idx="0">
                  <c:v>Savings</c:v>
                </c:pt>
              </c:strCache>
            </c:strRef>
          </c:tx>
          <c:spPr>
            <a:solidFill>
              <a:srgbClr val="8B5CF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Dashboard!$B$38:$B$49</c:f>
              <c:strCache>
                <c:ptCount val="12"/>
                <c:pt idx="0">
                  <c:v>❄️ January</c:v>
                </c:pt>
                <c:pt idx="1">
                  <c:v>💖 February</c:v>
                </c:pt>
                <c:pt idx="2">
                  <c:v>🌱 March</c:v>
                </c:pt>
                <c:pt idx="3">
                  <c:v>🌧️ April</c:v>
                </c:pt>
                <c:pt idx="4">
                  <c:v>🌸 May</c:v>
                </c:pt>
                <c:pt idx="5">
                  <c:v>☀️ June</c:v>
                </c:pt>
                <c:pt idx="6">
                  <c:v>🌧️ July</c:v>
                </c:pt>
                <c:pt idx="7">
                  <c:v>🌻 August</c:v>
                </c:pt>
                <c:pt idx="8">
                  <c:v>🍃 September</c:v>
                </c:pt>
                <c:pt idx="9">
                  <c:v>🎆 October</c:v>
                </c:pt>
                <c:pt idx="10">
                  <c:v>🪔 November</c:v>
                </c:pt>
                <c:pt idx="11">
                  <c:v>🎄 December</c:v>
                </c:pt>
              </c:strCache>
            </c:strRef>
          </c:cat>
          <c:val>
            <c:numRef>
              <c:f>Dashboard!$E$38:$E$49</c:f>
              <c:numCache>
                <c:formatCode>\₹#,##0;[Red]"(₹"#,##0\)</c:formatCode>
                <c:ptCount val="12"/>
                <c:pt idx="0">
                  <c:v>18975</c:v>
                </c:pt>
                <c:pt idx="1">
                  <c:v>16535</c:v>
                </c:pt>
                <c:pt idx="2">
                  <c:v>16590</c:v>
                </c:pt>
                <c:pt idx="3">
                  <c:v>17325</c:v>
                </c:pt>
                <c:pt idx="4">
                  <c:v>16535</c:v>
                </c:pt>
                <c:pt idx="5">
                  <c:v>16507</c:v>
                </c:pt>
                <c:pt idx="6">
                  <c:v>18150</c:v>
                </c:pt>
                <c:pt idx="7">
                  <c:v>16507</c:v>
                </c:pt>
                <c:pt idx="8">
                  <c:v>16397</c:v>
                </c:pt>
                <c:pt idx="9">
                  <c:v>9075</c:v>
                </c:pt>
                <c:pt idx="10">
                  <c:v>13200</c:v>
                </c:pt>
                <c:pt idx="11">
                  <c:v>16590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85-45E8-89B7-C605920D0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60628"/>
        <c:axId val="76559849"/>
      </c:barChart>
      <c:catAx>
        <c:axId val="239606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559849"/>
        <c:crosses val="autoZero"/>
        <c:auto val="1"/>
        <c:lblAlgn val="ctr"/>
        <c:lblOffset val="100"/>
        <c:noMultiLvlLbl val="0"/>
      </c:catAx>
      <c:valAx>
        <c:axId val="765598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Amount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[Red]&quot;(₹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39606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Remaining Balance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Dashboard!$F$37</c:f>
              <c:strCache>
                <c:ptCount val="1"/>
                <c:pt idx="0">
                  <c:v>Balance</c:v>
                </c:pt>
              </c:strCache>
            </c:strRef>
          </c:tx>
          <c:spPr>
            <a:ln w="28080">
              <a:solidFill>
                <a:srgbClr val="C9A227"/>
              </a:solidFill>
              <a:round/>
            </a:ln>
          </c:spPr>
          <c:marker>
            <c:symbol val="circle"/>
            <c:size val="5"/>
            <c:spPr>
              <a:solidFill>
                <a:srgbClr val="C9A22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Dashboard!$B$38:$B$49</c:f>
              <c:strCache>
                <c:ptCount val="12"/>
                <c:pt idx="0">
                  <c:v>❄️ January</c:v>
                </c:pt>
                <c:pt idx="1">
                  <c:v>💖 February</c:v>
                </c:pt>
                <c:pt idx="2">
                  <c:v>🌱 March</c:v>
                </c:pt>
                <c:pt idx="3">
                  <c:v>🌧️ April</c:v>
                </c:pt>
                <c:pt idx="4">
                  <c:v>🌸 May</c:v>
                </c:pt>
                <c:pt idx="5">
                  <c:v>☀️ June</c:v>
                </c:pt>
                <c:pt idx="6">
                  <c:v>🌧️ July</c:v>
                </c:pt>
                <c:pt idx="7">
                  <c:v>🌻 August</c:v>
                </c:pt>
                <c:pt idx="8">
                  <c:v>🍃 September</c:v>
                </c:pt>
                <c:pt idx="9">
                  <c:v>🎆 October</c:v>
                </c:pt>
                <c:pt idx="10">
                  <c:v>🪔 November</c:v>
                </c:pt>
                <c:pt idx="11">
                  <c:v>🎄 December</c:v>
                </c:pt>
              </c:strCache>
            </c:strRef>
          </c:cat>
          <c:val>
            <c:numRef>
              <c:f>Dashboard!$F$38:$F$49</c:f>
              <c:numCache>
                <c:formatCode>\₹#,##0;[Red]"(₹"#,##0\)</c:formatCode>
                <c:ptCount val="12"/>
                <c:pt idx="0">
                  <c:v>6151</c:v>
                </c:pt>
                <c:pt idx="1">
                  <c:v>8398</c:v>
                </c:pt>
                <c:pt idx="2">
                  <c:v>8666</c:v>
                </c:pt>
                <c:pt idx="3">
                  <c:v>9054</c:v>
                </c:pt>
                <c:pt idx="4">
                  <c:v>2540</c:v>
                </c:pt>
                <c:pt idx="5">
                  <c:v>9800</c:v>
                </c:pt>
                <c:pt idx="6">
                  <c:v>20500</c:v>
                </c:pt>
                <c:pt idx="7">
                  <c:v>11956</c:v>
                </c:pt>
                <c:pt idx="8">
                  <c:v>12793</c:v>
                </c:pt>
                <c:pt idx="9">
                  <c:v>12586</c:v>
                </c:pt>
                <c:pt idx="10">
                  <c:v>13514</c:v>
                </c:pt>
                <c:pt idx="11">
                  <c:v>21535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C9-464E-8448-432562448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51964"/>
        <c:axId val="63161377"/>
      </c:lineChart>
      <c:catAx>
        <c:axId val="91519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61377"/>
        <c:crosses val="autoZero"/>
        <c:auto val="1"/>
        <c:lblAlgn val="ctr"/>
        <c:lblOffset val="100"/>
        <c:noMultiLvlLbl val="0"/>
      </c:catAx>
      <c:valAx>
        <c:axId val="631613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₹ 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;[Red]&quot;(₹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19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9</xdr:row>
      <xdr:rowOff>0</xdr:rowOff>
    </xdr:from>
    <xdr:to>
      <xdr:col>13</xdr:col>
      <xdr:colOff>214200</xdr:colOff>
      <xdr:row>29</xdr:row>
      <xdr:rowOff>149760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35</xdr:row>
      <xdr:rowOff>0</xdr:rowOff>
    </xdr:from>
    <xdr:to>
      <xdr:col>16</xdr:col>
      <xdr:colOff>354960</xdr:colOff>
      <xdr:row>55</xdr:row>
      <xdr:rowOff>149760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58</xdr:row>
      <xdr:rowOff>0</xdr:rowOff>
    </xdr:from>
    <xdr:to>
      <xdr:col>16</xdr:col>
      <xdr:colOff>354960</xdr:colOff>
      <xdr:row>76</xdr:row>
      <xdr:rowOff>170640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Downloads/Premium_Budget_Tracker_2026.xlsx" TargetMode="External"/><Relationship Id="rId13" Type="http://schemas.openxmlformats.org/officeDocument/2006/relationships/hyperlink" Target="../../../Downloads/Premium_Budget_Tracker_2026.xlsx" TargetMode="External"/><Relationship Id="rId3" Type="http://schemas.openxmlformats.org/officeDocument/2006/relationships/hyperlink" Target="../../../Downloads/Premium_Budget_Tracker_2026.xlsx" TargetMode="External"/><Relationship Id="rId7" Type="http://schemas.openxmlformats.org/officeDocument/2006/relationships/hyperlink" Target="../../../Downloads/Premium_Budget_Tracker_2026.xlsx" TargetMode="External"/><Relationship Id="rId12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Relationship Id="rId6" Type="http://schemas.openxmlformats.org/officeDocument/2006/relationships/hyperlink" Target="../../../Downloads/Premium_Budget_Tracker_2026.xlsx" TargetMode="External"/><Relationship Id="rId11" Type="http://schemas.openxmlformats.org/officeDocument/2006/relationships/hyperlink" Target="../../../Downloads/Premium_Budget_Tracker_2026.xlsx" TargetMode="External"/><Relationship Id="rId5" Type="http://schemas.openxmlformats.org/officeDocument/2006/relationships/hyperlink" Target="../../../Downloads/Premium_Budget_Tracker_2026.xlsx" TargetMode="External"/><Relationship Id="rId10" Type="http://schemas.openxmlformats.org/officeDocument/2006/relationships/hyperlink" Target="../../../Downloads/Premium_Budget_Tracker_2026.xlsx" TargetMode="External"/><Relationship Id="rId4" Type="http://schemas.openxmlformats.org/officeDocument/2006/relationships/hyperlink" Target="../../../Downloads/Premium_Budget_Tracker_2026.xlsx" TargetMode="External"/><Relationship Id="rId9" Type="http://schemas.openxmlformats.org/officeDocument/2006/relationships/hyperlink" Target="../../../Downloads/Premium_Budget_Tracker_2026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../../../Downloads/Premium_Budget_Tracker_2026.xlsx" TargetMode="External"/><Relationship Id="rId2" Type="http://schemas.openxmlformats.org/officeDocument/2006/relationships/hyperlink" Target="../../../Downloads/Premium_Budget_Tracker_2026.xlsx" TargetMode="External"/><Relationship Id="rId1" Type="http://schemas.openxmlformats.org/officeDocument/2006/relationships/hyperlink" Target="../../../Downloads/Premium_Budget_Tracker_2026.xlsx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../../../Downloads/Premium_Budget_Tracker_2026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  <pageSetUpPr fitToPage="1"/>
  </sheetPr>
  <dimension ref="A1:N40"/>
  <sheetViews>
    <sheetView showGridLines="0" zoomScale="95" zoomScaleNormal="100" workbookViewId="0">
      <selection activeCell="E22" sqref="E22:G23"/>
    </sheetView>
  </sheetViews>
  <sheetFormatPr defaultColWidth="8.6640625" defaultRowHeight="14.4" x14ac:dyDescent="0.3"/>
  <cols>
    <col min="1" max="1" width="3" customWidth="1"/>
    <col min="2" max="14" width="12" customWidth="1"/>
    <col min="21" max="21" width="3" customWidth="1"/>
  </cols>
  <sheetData>
    <row r="1" spans="1:14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9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3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42" customHeight="1" x14ac:dyDescent="0.3">
      <c r="A5" s="2"/>
      <c r="B5" s="89" t="s">
        <v>0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</row>
    <row r="6" spans="1:14" ht="24" customHeight="1" x14ac:dyDescent="0.3">
      <c r="A6" s="2"/>
      <c r="B6" s="90" t="s">
        <v>1</v>
      </c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</row>
    <row r="7" spans="1:14" ht="13.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1.75" customHeight="1" x14ac:dyDescent="0.3">
      <c r="A8" s="2"/>
      <c r="B8" s="2"/>
      <c r="C8" s="2"/>
      <c r="D8" s="91" t="s">
        <v>2</v>
      </c>
      <c r="E8" s="91"/>
      <c r="F8" s="91"/>
      <c r="G8" s="91"/>
      <c r="H8" s="91"/>
      <c r="I8" s="91"/>
      <c r="J8" s="91"/>
      <c r="K8" s="91"/>
      <c r="L8" s="2"/>
      <c r="M8" s="2"/>
      <c r="N8" s="2"/>
    </row>
    <row r="9" spans="1:14" ht="21.75" customHeight="1" x14ac:dyDescent="0.3">
      <c r="A9" s="2"/>
      <c r="B9" s="2"/>
      <c r="C9" s="2"/>
      <c r="D9" s="91"/>
      <c r="E9" s="91"/>
      <c r="F9" s="91"/>
      <c r="G9" s="91"/>
      <c r="H9" s="91"/>
      <c r="I9" s="91"/>
      <c r="J9" s="91"/>
      <c r="K9" s="91"/>
      <c r="L9" s="2"/>
      <c r="M9" s="2"/>
      <c r="N9" s="2"/>
    </row>
    <row r="10" spans="1:14" ht="13.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4" customHeight="1" x14ac:dyDescent="0.3">
      <c r="A12" s="2"/>
      <c r="B12" s="82" t="s">
        <v>3</v>
      </c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</row>
    <row r="13" spans="1:14" ht="19.5" customHeight="1" x14ac:dyDescent="0.3">
      <c r="A13" s="2"/>
      <c r="B13" s="83" t="s">
        <v>4</v>
      </c>
      <c r="C13" s="83"/>
      <c r="D13" s="92" t="s">
        <v>5</v>
      </c>
      <c r="E13" s="92"/>
      <c r="F13" s="85" t="s">
        <v>6</v>
      </c>
      <c r="G13" s="85"/>
      <c r="H13" s="85"/>
      <c r="I13" s="85"/>
      <c r="J13" s="85"/>
      <c r="K13" s="85"/>
      <c r="L13" s="85"/>
      <c r="M13" s="85"/>
      <c r="N13" s="85"/>
    </row>
    <row r="14" spans="1:14" ht="19.5" customHeight="1" x14ac:dyDescent="0.3">
      <c r="A14" s="2"/>
      <c r="B14" s="83" t="s">
        <v>7</v>
      </c>
      <c r="C14" s="83"/>
      <c r="D14" s="87" t="s">
        <v>8</v>
      </c>
      <c r="E14" s="87"/>
      <c r="F14" s="85" t="s">
        <v>9</v>
      </c>
      <c r="G14" s="85"/>
      <c r="H14" s="85"/>
      <c r="I14" s="85"/>
      <c r="J14" s="85"/>
      <c r="K14" s="85"/>
      <c r="L14" s="85"/>
      <c r="M14" s="85"/>
      <c r="N14" s="85"/>
    </row>
    <row r="15" spans="1:14" ht="19.5" customHeight="1" x14ac:dyDescent="0.3">
      <c r="A15" s="2"/>
      <c r="B15" s="83" t="s">
        <v>10</v>
      </c>
      <c r="C15" s="83"/>
      <c r="D15" s="88" t="s">
        <v>11</v>
      </c>
      <c r="E15" s="88"/>
      <c r="F15" s="85" t="s">
        <v>12</v>
      </c>
      <c r="G15" s="85"/>
      <c r="H15" s="85"/>
      <c r="I15" s="85"/>
      <c r="J15" s="85"/>
      <c r="K15" s="85"/>
      <c r="L15" s="85"/>
      <c r="M15" s="85"/>
      <c r="N15" s="85"/>
    </row>
    <row r="16" spans="1:14" ht="19.5" customHeight="1" x14ac:dyDescent="0.3">
      <c r="A16" s="2"/>
      <c r="B16" s="83" t="s">
        <v>13</v>
      </c>
      <c r="C16" s="83"/>
      <c r="D16" s="84" t="s">
        <v>14</v>
      </c>
      <c r="E16" s="84"/>
      <c r="F16" s="85" t="s">
        <v>15</v>
      </c>
      <c r="G16" s="85"/>
      <c r="H16" s="85"/>
      <c r="I16" s="85"/>
      <c r="J16" s="85"/>
      <c r="K16" s="85"/>
      <c r="L16" s="85"/>
      <c r="M16" s="85"/>
      <c r="N16" s="85"/>
    </row>
    <row r="17" spans="1:14" ht="19.5" customHeight="1" x14ac:dyDescent="0.3">
      <c r="A17" s="2"/>
      <c r="B17" s="83" t="s">
        <v>16</v>
      </c>
      <c r="C17" s="83"/>
      <c r="D17" s="86" t="s">
        <v>17</v>
      </c>
      <c r="E17" s="86"/>
      <c r="F17" s="85" t="s">
        <v>18</v>
      </c>
      <c r="G17" s="85"/>
      <c r="H17" s="85"/>
      <c r="I17" s="85"/>
      <c r="J17" s="85"/>
      <c r="K17" s="85"/>
      <c r="L17" s="85"/>
      <c r="M17" s="85"/>
      <c r="N17" s="85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4" customHeight="1" x14ac:dyDescent="0.3">
      <c r="A19" s="2"/>
      <c r="B19" s="82" t="s">
        <v>19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</row>
    <row r="20" spans="1:14" ht="21.75" customHeight="1" x14ac:dyDescent="0.3">
      <c r="A20" s="2"/>
      <c r="B20" s="78" t="s">
        <v>20</v>
      </c>
      <c r="C20" s="78"/>
      <c r="D20" s="78"/>
      <c r="E20" s="79" t="s">
        <v>21</v>
      </c>
      <c r="F20" s="79"/>
      <c r="G20" s="79"/>
      <c r="H20" s="80" t="s">
        <v>22</v>
      </c>
      <c r="I20" s="80"/>
      <c r="J20" s="80"/>
      <c r="K20" s="81" t="s">
        <v>23</v>
      </c>
      <c r="L20" s="81"/>
      <c r="M20" s="81"/>
      <c r="N20" s="2"/>
    </row>
    <row r="21" spans="1:14" ht="9.75" customHeight="1" x14ac:dyDescent="0.3">
      <c r="A21" s="2"/>
      <c r="B21" s="78"/>
      <c r="C21" s="78"/>
      <c r="D21" s="78"/>
      <c r="E21" s="79"/>
      <c r="F21" s="79"/>
      <c r="G21" s="79"/>
      <c r="H21" s="80"/>
      <c r="I21" s="80"/>
      <c r="J21" s="80"/>
      <c r="K21" s="81"/>
      <c r="L21" s="81"/>
      <c r="M21" s="81"/>
      <c r="N21" s="2"/>
    </row>
    <row r="22" spans="1:14" ht="21.75" customHeight="1" x14ac:dyDescent="0.3">
      <c r="A22" s="2"/>
      <c r="B22" s="78" t="s">
        <v>24</v>
      </c>
      <c r="C22" s="78"/>
      <c r="D22" s="78"/>
      <c r="E22" s="79" t="s">
        <v>25</v>
      </c>
      <c r="F22" s="79"/>
      <c r="G22" s="79"/>
      <c r="H22" s="80" t="s">
        <v>26</v>
      </c>
      <c r="I22" s="80"/>
      <c r="J22" s="80"/>
      <c r="K22" s="81" t="s">
        <v>27</v>
      </c>
      <c r="L22" s="81"/>
      <c r="M22" s="81"/>
      <c r="N22" s="2"/>
    </row>
    <row r="23" spans="1:14" ht="9.75" customHeight="1" x14ac:dyDescent="0.3">
      <c r="A23" s="2"/>
      <c r="B23" s="78"/>
      <c r="C23" s="78"/>
      <c r="D23" s="78"/>
      <c r="E23" s="79"/>
      <c r="F23" s="79"/>
      <c r="G23" s="79"/>
      <c r="H23" s="80"/>
      <c r="I23" s="80"/>
      <c r="J23" s="80"/>
      <c r="K23" s="81"/>
      <c r="L23" s="81"/>
      <c r="M23" s="81"/>
      <c r="N23" s="2"/>
    </row>
    <row r="24" spans="1:14" ht="21.75" customHeight="1" x14ac:dyDescent="0.3">
      <c r="A24" s="2"/>
      <c r="B24" s="78" t="s">
        <v>28</v>
      </c>
      <c r="C24" s="78"/>
      <c r="D24" s="78"/>
      <c r="E24" s="79" t="s">
        <v>29</v>
      </c>
      <c r="F24" s="79"/>
      <c r="G24" s="79"/>
      <c r="H24" s="80" t="s">
        <v>30</v>
      </c>
      <c r="I24" s="80"/>
      <c r="J24" s="80"/>
      <c r="K24" s="81" t="s">
        <v>31</v>
      </c>
      <c r="L24" s="81"/>
      <c r="M24" s="81"/>
      <c r="N24" s="2"/>
    </row>
    <row r="25" spans="1:14" ht="9.75" customHeight="1" x14ac:dyDescent="0.3">
      <c r="A25" s="2"/>
      <c r="B25" s="78"/>
      <c r="C25" s="78"/>
      <c r="D25" s="78"/>
      <c r="E25" s="79"/>
      <c r="F25" s="79"/>
      <c r="G25" s="79"/>
      <c r="H25" s="80"/>
      <c r="I25" s="80"/>
      <c r="J25" s="80"/>
      <c r="K25" s="81"/>
      <c r="L25" s="81"/>
      <c r="M25" s="81"/>
      <c r="N25" s="2"/>
    </row>
    <row r="26" spans="1:1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2"/>
      <c r="B27" s="76" t="s">
        <v>32</v>
      </c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</row>
    <row r="28" spans="1:14" x14ac:dyDescent="0.3">
      <c r="A28" s="2"/>
      <c r="B28" s="77" t="s">
        <v>33</v>
      </c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</row>
    <row r="29" spans="1:1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mergeCells count="34">
    <mergeCell ref="B5:N5"/>
    <mergeCell ref="B6:N6"/>
    <mergeCell ref="D8:K9"/>
    <mergeCell ref="B12:N12"/>
    <mergeCell ref="B13:C13"/>
    <mergeCell ref="D13:E13"/>
    <mergeCell ref="F13:N13"/>
    <mergeCell ref="B14:C14"/>
    <mergeCell ref="D14:E14"/>
    <mergeCell ref="F14:N14"/>
    <mergeCell ref="B15:C15"/>
    <mergeCell ref="D15:E15"/>
    <mergeCell ref="F15:N15"/>
    <mergeCell ref="B16:C16"/>
    <mergeCell ref="D16:E16"/>
    <mergeCell ref="F16:N16"/>
    <mergeCell ref="B17:C17"/>
    <mergeCell ref="D17:E17"/>
    <mergeCell ref="F17:N17"/>
    <mergeCell ref="B19:N19"/>
    <mergeCell ref="B20:D21"/>
    <mergeCell ref="E20:G21"/>
    <mergeCell ref="H20:J21"/>
    <mergeCell ref="K20:M21"/>
    <mergeCell ref="B27:N27"/>
    <mergeCell ref="B28:N28"/>
    <mergeCell ref="B22:D23"/>
    <mergeCell ref="E22:G23"/>
    <mergeCell ref="H22:J23"/>
    <mergeCell ref="K22:M23"/>
    <mergeCell ref="B24:D25"/>
    <mergeCell ref="E24:G25"/>
    <mergeCell ref="H24:J25"/>
    <mergeCell ref="K24:M25"/>
  </mergeCells>
  <hyperlinks>
    <hyperlink ref="D8" r:id="rId1" location="'Dashboard'!A1" xr:uid="{00000000-0004-0000-0000-000000000000}"/>
    <hyperlink ref="B20" r:id="rId2" location="'Jan'!A1" xr:uid="{00000000-0004-0000-0000-000001000000}"/>
    <hyperlink ref="E20" r:id="rId3" location="'Feb'!A1" xr:uid="{00000000-0004-0000-0000-000002000000}"/>
    <hyperlink ref="H20" r:id="rId4" location="'Mar'!A1" xr:uid="{00000000-0004-0000-0000-000003000000}"/>
    <hyperlink ref="K20" r:id="rId5" location="'Apr'!A1" xr:uid="{00000000-0004-0000-0000-000004000000}"/>
    <hyperlink ref="B22" r:id="rId6" location="'May'!A1" xr:uid="{00000000-0004-0000-0000-000005000000}"/>
    <hyperlink ref="E22" r:id="rId7" location="'Jun'!A1" xr:uid="{00000000-0004-0000-0000-000006000000}"/>
    <hyperlink ref="H22" r:id="rId8" location="'Jul'!A1" xr:uid="{00000000-0004-0000-0000-000007000000}"/>
    <hyperlink ref="K22" r:id="rId9" location="'Aug'!A1" xr:uid="{00000000-0004-0000-0000-000008000000}"/>
    <hyperlink ref="B24" r:id="rId10" location="'Sep'!A1" xr:uid="{00000000-0004-0000-0000-000009000000}"/>
    <hyperlink ref="E24" r:id="rId11" location="'Oct'!A1" xr:uid="{00000000-0004-0000-0000-00000A000000}"/>
    <hyperlink ref="H24" r:id="rId12" location="'Nov'!A1" xr:uid="{00000000-0004-0000-0000-00000B000000}"/>
    <hyperlink ref="K24" r:id="rId13" location="'Dec'!A1" xr:uid="{00000000-0004-0000-0000-00000C000000}"/>
  </hyperlink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G12" sqref="G12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36</v>
      </c>
      <c r="O1" s="119"/>
      <c r="P1" s="119"/>
      <c r="Q1" s="119"/>
      <c r="R1" s="119" t="s">
        <v>37</v>
      </c>
      <c r="S1" s="119"/>
      <c r="T1" s="119"/>
      <c r="U1" s="119"/>
    </row>
    <row r="2" spans="1:21" ht="30" customHeight="1" x14ac:dyDescent="0.3">
      <c r="B2" s="120" t="s">
        <v>38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72200</v>
      </c>
      <c r="C7" s="104"/>
      <c r="D7" s="104"/>
      <c r="E7" s="104"/>
      <c r="F7" s="104"/>
      <c r="G7" s="105">
        <f>G31</f>
        <v>47074</v>
      </c>
      <c r="H7" s="105"/>
      <c r="I7" s="105"/>
      <c r="J7" s="105"/>
      <c r="K7" s="105"/>
      <c r="L7" s="106">
        <f>G32</f>
        <v>18975</v>
      </c>
      <c r="M7" s="106"/>
      <c r="N7" s="106"/>
      <c r="O7" s="106"/>
      <c r="P7" s="106"/>
      <c r="Q7" s="107">
        <f>G33</f>
        <v>6151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65000</v>
      </c>
      <c r="D12" s="16">
        <v>65000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15150</v>
      </c>
      <c r="J12" s="17">
        <f t="shared" ref="J12:J22" si="1">IF(H12=0,IF(I12=0,0,1),I12/H12)</f>
        <v>1.01</v>
      </c>
      <c r="L12" s="15" t="s">
        <v>54</v>
      </c>
      <c r="M12" s="16">
        <v>6000</v>
      </c>
      <c r="N12" s="16">
        <v>5880</v>
      </c>
      <c r="O12" s="17">
        <f t="shared" ref="O12:O24" si="2">IF(M12=0,IF(N12=0,0,1),N12/M12)</f>
        <v>0.98</v>
      </c>
      <c r="Q12" s="15" t="s">
        <v>55</v>
      </c>
      <c r="R12" s="16">
        <v>3000</v>
      </c>
      <c r="S12" s="16">
        <v>3450</v>
      </c>
      <c r="T12" s="17">
        <f t="shared" ref="T12:T20" si="3">IF(R12=0,IF(S12=0,0,1),S12/R12)</f>
        <v>1.1499999999999999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2200</v>
      </c>
      <c r="I13" s="19">
        <v>2178</v>
      </c>
      <c r="J13" s="20">
        <f t="shared" si="1"/>
        <v>0.99</v>
      </c>
      <c r="L13" s="18" t="s">
        <v>58</v>
      </c>
      <c r="M13" s="19">
        <v>2500</v>
      </c>
      <c r="N13" s="19">
        <v>2625</v>
      </c>
      <c r="O13" s="20">
        <f t="shared" si="2"/>
        <v>1.05</v>
      </c>
      <c r="Q13" s="18" t="s">
        <v>59</v>
      </c>
      <c r="R13" s="19">
        <v>5000</v>
      </c>
      <c r="S13" s="19">
        <v>5750</v>
      </c>
      <c r="T13" s="20">
        <f t="shared" si="3"/>
        <v>1.1499999999999999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308</v>
      </c>
      <c r="J14" s="17">
        <f t="shared" si="1"/>
        <v>1.0266666666666666</v>
      </c>
      <c r="L14" s="15" t="s">
        <v>62</v>
      </c>
      <c r="M14" s="16">
        <v>2000</v>
      </c>
      <c r="N14" s="16">
        <v>2020</v>
      </c>
      <c r="O14" s="17">
        <f t="shared" si="2"/>
        <v>1.01</v>
      </c>
      <c r="Q14" s="15" t="s">
        <v>63</v>
      </c>
      <c r="R14" s="16">
        <v>2000</v>
      </c>
      <c r="S14" s="16">
        <v>2300</v>
      </c>
      <c r="T14" s="17">
        <f t="shared" si="3"/>
        <v>1.1499999999999999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804</v>
      </c>
      <c r="J15" s="20">
        <f t="shared" si="1"/>
        <v>1.0049999999999999</v>
      </c>
      <c r="L15" s="18" t="s">
        <v>66</v>
      </c>
      <c r="M15" s="19">
        <v>3000</v>
      </c>
      <c r="N15" s="19">
        <v>2910</v>
      </c>
      <c r="O15" s="20">
        <f t="shared" si="2"/>
        <v>0.97</v>
      </c>
      <c r="Q15" s="18" t="s">
        <v>67</v>
      </c>
      <c r="R15" s="19">
        <v>1000</v>
      </c>
      <c r="S15" s="19">
        <v>1150</v>
      </c>
      <c r="T15" s="20">
        <f t="shared" si="3"/>
        <v>1.1499999999999999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394</v>
      </c>
      <c r="J16" s="17">
        <f t="shared" si="1"/>
        <v>0.98499999999999999</v>
      </c>
      <c r="L16" s="15" t="s">
        <v>70</v>
      </c>
      <c r="M16" s="16">
        <v>1000</v>
      </c>
      <c r="N16" s="16">
        <v>1040</v>
      </c>
      <c r="O16" s="17">
        <f t="shared" si="2"/>
        <v>1.04</v>
      </c>
      <c r="Q16" s="15" t="s">
        <v>71</v>
      </c>
      <c r="R16" s="16">
        <v>2000</v>
      </c>
      <c r="S16" s="16">
        <v>2300</v>
      </c>
      <c r="T16" s="17">
        <f t="shared" si="3"/>
        <v>1.1499999999999999</v>
      </c>
    </row>
    <row r="17" spans="2:21" x14ac:dyDescent="0.3">
      <c r="B17" s="18" t="s">
        <v>72</v>
      </c>
      <c r="C17" s="19">
        <v>0</v>
      </c>
      <c r="D17" s="19">
        <v>0</v>
      </c>
      <c r="E17" s="20">
        <f t="shared" si="0"/>
        <v>0</v>
      </c>
      <c r="G17" s="18" t="s">
        <v>73</v>
      </c>
      <c r="H17" s="19">
        <v>1200</v>
      </c>
      <c r="I17" s="19">
        <v>1224</v>
      </c>
      <c r="J17" s="20">
        <f t="shared" si="1"/>
        <v>1.02</v>
      </c>
      <c r="L17" s="18" t="s">
        <v>74</v>
      </c>
      <c r="M17" s="19">
        <v>800</v>
      </c>
      <c r="N17" s="19">
        <v>800</v>
      </c>
      <c r="O17" s="20">
        <f t="shared" si="2"/>
        <v>1</v>
      </c>
      <c r="Q17" s="18" t="s">
        <v>75</v>
      </c>
      <c r="R17" s="19">
        <v>1500</v>
      </c>
      <c r="S17" s="19">
        <v>1725</v>
      </c>
      <c r="T17" s="20">
        <f t="shared" si="3"/>
        <v>1.1499999999999999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6000</v>
      </c>
      <c r="J18" s="17">
        <f t="shared" si="1"/>
        <v>1</v>
      </c>
      <c r="L18" s="15" t="s">
        <v>78</v>
      </c>
      <c r="M18" s="16">
        <v>1000</v>
      </c>
      <c r="N18" s="16">
        <v>960</v>
      </c>
      <c r="O18" s="17">
        <f t="shared" si="2"/>
        <v>0.96</v>
      </c>
      <c r="Q18" s="15" t="s">
        <v>79</v>
      </c>
      <c r="R18" s="16">
        <v>2000</v>
      </c>
      <c r="S18" s="16">
        <v>2300</v>
      </c>
      <c r="T18" s="17">
        <f t="shared" si="3"/>
        <v>1.1499999999999999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490</v>
      </c>
      <c r="J19" s="20">
        <f t="shared" si="1"/>
        <v>0.98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72200</v>
      </c>
      <c r="D20" s="22">
        <f>SUM(D12:D19)</f>
        <v>72200</v>
      </c>
      <c r="E20" s="23">
        <f t="shared" si="0"/>
        <v>1</v>
      </c>
      <c r="G20" s="15" t="s">
        <v>85</v>
      </c>
      <c r="H20" s="16">
        <v>1500</v>
      </c>
      <c r="I20" s="16">
        <v>1522</v>
      </c>
      <c r="J20" s="17">
        <f t="shared" si="1"/>
        <v>1.0146666666666666</v>
      </c>
      <c r="L20" s="15" t="s">
        <v>86</v>
      </c>
      <c r="M20" s="16">
        <v>1500</v>
      </c>
      <c r="N20" s="16">
        <v>1485</v>
      </c>
      <c r="O20" s="17">
        <f t="shared" si="2"/>
        <v>0.99</v>
      </c>
      <c r="Q20" s="24" t="s">
        <v>84</v>
      </c>
      <c r="R20" s="25">
        <f>SUM(R12:R19)</f>
        <v>16500</v>
      </c>
      <c r="S20" s="25">
        <f>SUM(S12:S19)</f>
        <v>18975</v>
      </c>
      <c r="T20" s="26">
        <f t="shared" si="3"/>
        <v>1.1499999999999999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600</v>
      </c>
      <c r="N21" s="19">
        <v>570</v>
      </c>
      <c r="O21" s="20">
        <f t="shared" si="2"/>
        <v>0.95</v>
      </c>
    </row>
    <row r="22" spans="2:21" x14ac:dyDescent="0.3">
      <c r="G22" s="27" t="s">
        <v>84</v>
      </c>
      <c r="H22" s="28">
        <f>SUM(H12:H21)</f>
        <v>27900</v>
      </c>
      <c r="I22" s="28">
        <f>SUM(I12:I21)</f>
        <v>28070</v>
      </c>
      <c r="J22" s="29">
        <f t="shared" si="1"/>
        <v>1.0060931899641576</v>
      </c>
      <c r="L22" s="15" t="s">
        <v>89</v>
      </c>
      <c r="M22" s="16">
        <v>700</v>
      </c>
      <c r="N22" s="16">
        <v>714</v>
      </c>
      <c r="O22" s="17">
        <f t="shared" si="2"/>
        <v>1.02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19100</v>
      </c>
      <c r="N24" s="31">
        <f>SUM(N12:N23)</f>
        <v>19004</v>
      </c>
      <c r="O24" s="32">
        <f t="shared" si="2"/>
        <v>0.99497382198952877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72200</v>
      </c>
      <c r="G28" s="35">
        <f>D20</f>
        <v>72200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27900</v>
      </c>
      <c r="G29" s="37">
        <f>I22</f>
        <v>28070</v>
      </c>
      <c r="H29" s="38" t="str">
        <f>IF(G29&gt;F29,"⚠️ Over Budget","✅ On Budget")</f>
        <v>⚠️ Over Budget</v>
      </c>
    </row>
    <row r="30" spans="2:21" x14ac:dyDescent="0.3">
      <c r="B30" s="98" t="s">
        <v>96</v>
      </c>
      <c r="C30" s="98"/>
      <c r="D30" s="98"/>
      <c r="E30" s="98"/>
      <c r="F30" s="35">
        <f>M24</f>
        <v>19100</v>
      </c>
      <c r="G30" s="35">
        <f>N24</f>
        <v>19004</v>
      </c>
      <c r="H30" s="36" t="str">
        <f>IF(G30&gt;F30,"⚠️ Over Budget","✅ On Budget")</f>
        <v>✅ On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47000</v>
      </c>
      <c r="G31" s="37">
        <f>G29+G30</f>
        <v>47074</v>
      </c>
      <c r="H31" s="38" t="str">
        <f>IF(G31&gt;F31,"⚠️ Over Budget","✅ On Budget")</f>
        <v>⚠️ Over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18975</v>
      </c>
      <c r="H32" s="36" t="str">
        <f>IF(G32&gt;=F32,"✅ Goal Met","⚠️ Below Goal")</f>
        <v>✅ Goal Met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8700</v>
      </c>
      <c r="G33" s="39">
        <f>G28-G31-G32</f>
        <v>6151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0.22853185595567868</v>
      </c>
      <c r="G34" s="40">
        <f>IF(G28=0,0,G32/G28)</f>
        <v>0.26281163434903049</v>
      </c>
      <c r="H34" s="41" t="str">
        <f>IF(G34&gt;=0.2,"🌟 Excellent","👍 Keep Going")</f>
        <v>🌟 Excellent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6151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144" priority="3">
      <formula>D12&gt;=C12</formula>
    </cfRule>
    <cfRule type="expression" dxfId="143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{EBD8D132-A664-497A-8929-F5C7F03055A6}</x14:id>
        </ext>
      </extLst>
    </cfRule>
  </conditionalFormatting>
  <conditionalFormatting sqref="F33:G33">
    <cfRule type="expression" dxfId="142" priority="15">
      <formula>G33&lt;0</formula>
    </cfRule>
    <cfRule type="expression" dxfId="141" priority="16">
      <formula>G33&gt;=0</formula>
    </cfRule>
  </conditionalFormatting>
  <conditionalFormatting sqref="G36">
    <cfRule type="expression" dxfId="140" priority="17">
      <formula>G33&lt;0</formula>
    </cfRule>
  </conditionalFormatting>
  <conditionalFormatting sqref="H28:H34">
    <cfRule type="expression" dxfId="139" priority="12">
      <formula>ISNUMBER(SEARCH("⚠",H28))</formula>
    </cfRule>
    <cfRule type="expression" dxfId="138" priority="13">
      <formula>ISNUMBER(SEARCH("✅",H28))</formula>
    </cfRule>
    <cfRule type="expression" dxfId="137" priority="14">
      <formula>ISNUMBER(SEARCH("🌟",H28))</formula>
    </cfRule>
  </conditionalFormatting>
  <conditionalFormatting sqref="I12:I21">
    <cfRule type="expression" dxfId="136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{18EC3D8A-C05B-4D43-936B-AF8B9742E399}</x14:id>
        </ext>
      </extLst>
    </cfRule>
  </conditionalFormatting>
  <conditionalFormatting sqref="N12:N23">
    <cfRule type="expression" dxfId="135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{15D3382E-C03B-41D8-964F-22A5BD8FF846}</x14:id>
        </ext>
      </extLst>
    </cfRule>
  </conditionalFormatting>
  <conditionalFormatting sqref="S12:S19">
    <cfRule type="expression" dxfId="134" priority="10">
      <formula>S12&gt;=R12</formula>
    </cfRule>
    <cfRule type="expression" dxfId="133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{4C823EAA-A8BA-4AD4-A462-265A703DB35B}</x14:id>
        </ext>
      </extLst>
    </cfRule>
  </conditionalFormatting>
  <hyperlinks>
    <hyperlink ref="B1" r:id="rId1" location="'Dashboard'!A1" xr:uid="{00000000-0004-0000-0100-000000000000}"/>
    <hyperlink ref="N1" r:id="rId2" location="'Dashboard'!A1" xr:uid="{00000000-0004-0000-0100-000001000000}"/>
    <hyperlink ref="R1" r:id="rId3" location="'Feb'!A1" xr:uid="{00000000-0004-0000-01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D8D132-A664-497A-8929-F5C7F03055A6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18EC3D8A-C05B-4D43-936B-AF8B9742E399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15D3382E-C03B-41D8-964F-22A5BD8FF846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4C823EAA-A8BA-4AD4-A462-265A703DB35B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104</v>
      </c>
      <c r="O1" s="119"/>
      <c r="P1" s="119"/>
      <c r="Q1" s="119"/>
      <c r="R1" s="119" t="s">
        <v>105</v>
      </c>
      <c r="S1" s="119"/>
      <c r="T1" s="119"/>
      <c r="U1" s="119"/>
    </row>
    <row r="2" spans="1:21" ht="30" customHeight="1" x14ac:dyDescent="0.3">
      <c r="B2" s="120" t="s">
        <v>106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72200</v>
      </c>
      <c r="C7" s="104"/>
      <c r="D7" s="104"/>
      <c r="E7" s="104"/>
      <c r="F7" s="104"/>
      <c r="G7" s="105">
        <f>G31</f>
        <v>47267</v>
      </c>
      <c r="H7" s="105"/>
      <c r="I7" s="105"/>
      <c r="J7" s="105"/>
      <c r="K7" s="105"/>
      <c r="L7" s="106">
        <f>G32</f>
        <v>16535</v>
      </c>
      <c r="M7" s="106"/>
      <c r="N7" s="106"/>
      <c r="O7" s="106"/>
      <c r="P7" s="106"/>
      <c r="Q7" s="107">
        <f>G33</f>
        <v>8398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65000</v>
      </c>
      <c r="D12" s="16">
        <v>65000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15300</v>
      </c>
      <c r="J12" s="17">
        <f t="shared" ref="J12:J22" si="1">IF(H12=0,IF(I12=0,0,1),I12/H12)</f>
        <v>1.02</v>
      </c>
      <c r="L12" s="15" t="s">
        <v>54</v>
      </c>
      <c r="M12" s="16">
        <v>6000</v>
      </c>
      <c r="N12" s="16">
        <v>6000</v>
      </c>
      <c r="O12" s="17">
        <f t="shared" ref="O12:O24" si="2">IF(M12=0,IF(N12=0,0,1),N12/M12)</f>
        <v>1</v>
      </c>
      <c r="Q12" s="15" t="s">
        <v>55</v>
      </c>
      <c r="R12" s="16">
        <v>3000</v>
      </c>
      <c r="S12" s="16">
        <v>2940</v>
      </c>
      <c r="T12" s="17">
        <f t="shared" ref="T12:T20" si="3">IF(R12=0,IF(S12=0,0,1),S12/R12)</f>
        <v>0.98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2200</v>
      </c>
      <c r="I13" s="19">
        <v>2200</v>
      </c>
      <c r="J13" s="20">
        <f t="shared" si="1"/>
        <v>1</v>
      </c>
      <c r="L13" s="18" t="s">
        <v>58</v>
      </c>
      <c r="M13" s="19">
        <v>2500</v>
      </c>
      <c r="N13" s="19">
        <v>2400</v>
      </c>
      <c r="O13" s="20">
        <f t="shared" si="2"/>
        <v>0.96</v>
      </c>
      <c r="Q13" s="18" t="s">
        <v>59</v>
      </c>
      <c r="R13" s="19">
        <v>5000</v>
      </c>
      <c r="S13" s="19">
        <v>5075</v>
      </c>
      <c r="T13" s="20">
        <f t="shared" si="3"/>
        <v>1.0149999999999999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294</v>
      </c>
      <c r="J14" s="17">
        <f t="shared" si="1"/>
        <v>0.98</v>
      </c>
      <c r="L14" s="15" t="s">
        <v>62</v>
      </c>
      <c r="M14" s="16">
        <v>2000</v>
      </c>
      <c r="N14" s="16">
        <v>2060</v>
      </c>
      <c r="O14" s="17">
        <f t="shared" si="2"/>
        <v>1.03</v>
      </c>
      <c r="Q14" s="15" t="s">
        <v>63</v>
      </c>
      <c r="R14" s="16">
        <v>2000</v>
      </c>
      <c r="S14" s="16">
        <v>1990</v>
      </c>
      <c r="T14" s="17">
        <f t="shared" si="3"/>
        <v>0.995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812</v>
      </c>
      <c r="J15" s="20">
        <f t="shared" si="1"/>
        <v>1.0149999999999999</v>
      </c>
      <c r="L15" s="18" t="s">
        <v>66</v>
      </c>
      <c r="M15" s="19">
        <v>3000</v>
      </c>
      <c r="N15" s="19">
        <v>2970</v>
      </c>
      <c r="O15" s="20">
        <f t="shared" si="2"/>
        <v>0.99</v>
      </c>
      <c r="Q15" s="18" t="s">
        <v>67</v>
      </c>
      <c r="R15" s="19">
        <v>1000</v>
      </c>
      <c r="S15" s="19">
        <v>975</v>
      </c>
      <c r="T15" s="20">
        <f t="shared" si="3"/>
        <v>0.97499999999999998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398</v>
      </c>
      <c r="J16" s="17">
        <f t="shared" si="1"/>
        <v>0.995</v>
      </c>
      <c r="L16" s="15" t="s">
        <v>70</v>
      </c>
      <c r="M16" s="16">
        <v>1000</v>
      </c>
      <c r="N16" s="16">
        <v>950</v>
      </c>
      <c r="O16" s="17">
        <f t="shared" si="2"/>
        <v>0.95</v>
      </c>
      <c r="Q16" s="15" t="s">
        <v>71</v>
      </c>
      <c r="R16" s="16">
        <v>2000</v>
      </c>
      <c r="S16" s="16">
        <v>2020</v>
      </c>
      <c r="T16" s="17">
        <f t="shared" si="3"/>
        <v>1.01</v>
      </c>
    </row>
    <row r="17" spans="2:21" x14ac:dyDescent="0.3">
      <c r="B17" s="18" t="s">
        <v>72</v>
      </c>
      <c r="C17" s="19">
        <v>0</v>
      </c>
      <c r="D17" s="19">
        <v>0</v>
      </c>
      <c r="E17" s="20">
        <f t="shared" si="0"/>
        <v>0</v>
      </c>
      <c r="G17" s="18" t="s">
        <v>73</v>
      </c>
      <c r="H17" s="19">
        <v>1200</v>
      </c>
      <c r="I17" s="19">
        <v>1170</v>
      </c>
      <c r="J17" s="20">
        <f t="shared" si="1"/>
        <v>0.97499999999999998</v>
      </c>
      <c r="L17" s="18" t="s">
        <v>74</v>
      </c>
      <c r="M17" s="19">
        <v>800</v>
      </c>
      <c r="N17" s="19">
        <v>816</v>
      </c>
      <c r="O17" s="20">
        <f t="shared" si="2"/>
        <v>1.02</v>
      </c>
      <c r="Q17" s="18" t="s">
        <v>75</v>
      </c>
      <c r="R17" s="19">
        <v>1500</v>
      </c>
      <c r="S17" s="19">
        <v>1485</v>
      </c>
      <c r="T17" s="20">
        <f t="shared" si="3"/>
        <v>0.99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6060</v>
      </c>
      <c r="J18" s="17">
        <f t="shared" si="1"/>
        <v>1.01</v>
      </c>
      <c r="L18" s="15" t="s">
        <v>78</v>
      </c>
      <c r="M18" s="16">
        <v>1000</v>
      </c>
      <c r="N18" s="16">
        <v>980</v>
      </c>
      <c r="O18" s="17">
        <f t="shared" si="2"/>
        <v>0.98</v>
      </c>
      <c r="Q18" s="15" t="s">
        <v>79</v>
      </c>
      <c r="R18" s="16">
        <v>2000</v>
      </c>
      <c r="S18" s="16">
        <v>2050</v>
      </c>
      <c r="T18" s="17">
        <f t="shared" si="3"/>
        <v>1.0249999999999999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495</v>
      </c>
      <c r="J19" s="20">
        <f t="shared" si="1"/>
        <v>0.99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72200</v>
      </c>
      <c r="D20" s="22">
        <f>SUM(D12:D19)</f>
        <v>72200</v>
      </c>
      <c r="E20" s="23">
        <f t="shared" si="0"/>
        <v>1</v>
      </c>
      <c r="G20" s="15" t="s">
        <v>85</v>
      </c>
      <c r="H20" s="16">
        <v>1500</v>
      </c>
      <c r="I20" s="16">
        <v>1537</v>
      </c>
      <c r="J20" s="17">
        <f t="shared" si="1"/>
        <v>1.0246666666666666</v>
      </c>
      <c r="L20" s="15" t="s">
        <v>86</v>
      </c>
      <c r="M20" s="16">
        <v>1500</v>
      </c>
      <c r="N20" s="16">
        <v>1515</v>
      </c>
      <c r="O20" s="17">
        <f t="shared" si="2"/>
        <v>1.01</v>
      </c>
      <c r="Q20" s="24" t="s">
        <v>84</v>
      </c>
      <c r="R20" s="25">
        <f>SUM(R12:R19)</f>
        <v>16500</v>
      </c>
      <c r="S20" s="25">
        <f>SUM(S12:S19)</f>
        <v>16535</v>
      </c>
      <c r="T20" s="26">
        <f t="shared" si="3"/>
        <v>1.0021212121212122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600</v>
      </c>
      <c r="N21" s="19">
        <v>582</v>
      </c>
      <c r="O21" s="20">
        <f t="shared" si="2"/>
        <v>0.97</v>
      </c>
    </row>
    <row r="22" spans="2:21" x14ac:dyDescent="0.3">
      <c r="G22" s="27" t="s">
        <v>84</v>
      </c>
      <c r="H22" s="28">
        <f>SUM(H12:H21)</f>
        <v>27900</v>
      </c>
      <c r="I22" s="28">
        <f>SUM(I12:I21)</f>
        <v>28266</v>
      </c>
      <c r="J22" s="29">
        <f t="shared" si="1"/>
        <v>1.0131182795698925</v>
      </c>
      <c r="L22" s="15" t="s">
        <v>89</v>
      </c>
      <c r="M22" s="16">
        <v>700</v>
      </c>
      <c r="N22" s="16">
        <v>728</v>
      </c>
      <c r="O22" s="17">
        <f t="shared" si="2"/>
        <v>1.04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19100</v>
      </c>
      <c r="N24" s="31">
        <f>SUM(N12:N23)</f>
        <v>19001</v>
      </c>
      <c r="O24" s="32">
        <f t="shared" si="2"/>
        <v>0.99481675392670155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72200</v>
      </c>
      <c r="G28" s="35">
        <f>D20</f>
        <v>72200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27900</v>
      </c>
      <c r="G29" s="37">
        <f>I22</f>
        <v>28266</v>
      </c>
      <c r="H29" s="38" t="str">
        <f>IF(G29&gt;F29,"⚠️ Over Budget","✅ On Budget")</f>
        <v>⚠️ Over Budget</v>
      </c>
    </row>
    <row r="30" spans="2:21" x14ac:dyDescent="0.3">
      <c r="B30" s="98" t="s">
        <v>96</v>
      </c>
      <c r="C30" s="98"/>
      <c r="D30" s="98"/>
      <c r="E30" s="98"/>
      <c r="F30" s="35">
        <f>M24</f>
        <v>19100</v>
      </c>
      <c r="G30" s="35">
        <f>N24</f>
        <v>19001</v>
      </c>
      <c r="H30" s="36" t="str">
        <f>IF(G30&gt;F30,"⚠️ Over Budget","✅ On Budget")</f>
        <v>✅ On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47000</v>
      </c>
      <c r="G31" s="37">
        <f>G29+G30</f>
        <v>47267</v>
      </c>
      <c r="H31" s="38" t="str">
        <f>IF(G31&gt;F31,"⚠️ Over Budget","✅ On Budget")</f>
        <v>⚠️ Over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16535</v>
      </c>
      <c r="H32" s="36" t="str">
        <f>IF(G32&gt;=F32,"✅ Goal Met","⚠️ Below Goal")</f>
        <v>✅ Goal Met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8700</v>
      </c>
      <c r="G33" s="39">
        <f>G28-G31-G32</f>
        <v>8398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0.22853185595567868</v>
      </c>
      <c r="G34" s="40">
        <f>IF(G28=0,0,G32/G28)</f>
        <v>0.22901662049861496</v>
      </c>
      <c r="H34" s="41" t="str">
        <f>IF(G34&gt;=0.2,"🌟 Excellent","👍 Keep Going")</f>
        <v>🌟 Excellent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8398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132" priority="3">
      <formula>D12&gt;=C12</formula>
    </cfRule>
    <cfRule type="expression" dxfId="131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{B0991030-1AAB-4DDC-A1ED-31EA304B23E2}</x14:id>
        </ext>
      </extLst>
    </cfRule>
  </conditionalFormatting>
  <conditionalFormatting sqref="F33:G33">
    <cfRule type="expression" dxfId="130" priority="15">
      <formula>G33&lt;0</formula>
    </cfRule>
    <cfRule type="expression" dxfId="129" priority="16">
      <formula>G33&gt;=0</formula>
    </cfRule>
  </conditionalFormatting>
  <conditionalFormatting sqref="G36">
    <cfRule type="expression" dxfId="128" priority="17">
      <formula>G33&lt;0</formula>
    </cfRule>
  </conditionalFormatting>
  <conditionalFormatting sqref="H28:H34">
    <cfRule type="expression" dxfId="127" priority="12">
      <formula>ISNUMBER(SEARCH("⚠",H28))</formula>
    </cfRule>
    <cfRule type="expression" dxfId="126" priority="13">
      <formula>ISNUMBER(SEARCH("✅",H28))</formula>
    </cfRule>
    <cfRule type="expression" dxfId="125" priority="14">
      <formula>ISNUMBER(SEARCH("🌟",H28))</formula>
    </cfRule>
  </conditionalFormatting>
  <conditionalFormatting sqref="I12:I21">
    <cfRule type="expression" dxfId="124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{6A44B8C6-7412-4EF0-9DA5-3AD51CE99F92}</x14:id>
        </ext>
      </extLst>
    </cfRule>
  </conditionalFormatting>
  <conditionalFormatting sqref="N12:N23">
    <cfRule type="expression" dxfId="123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{A166DCDC-14C6-4957-8AAC-C0E5A6ECE5B4}</x14:id>
        </ext>
      </extLst>
    </cfRule>
  </conditionalFormatting>
  <conditionalFormatting sqref="S12:S19">
    <cfRule type="expression" dxfId="122" priority="10">
      <formula>S12&gt;=R12</formula>
    </cfRule>
    <cfRule type="expression" dxfId="121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{F03490C0-56FF-4770-BEBE-A03043206B64}</x14:id>
        </ext>
      </extLst>
    </cfRule>
  </conditionalFormatting>
  <hyperlinks>
    <hyperlink ref="B1" r:id="rId1" location="'Dashboard'!A1" xr:uid="{00000000-0004-0000-0200-000000000000}"/>
    <hyperlink ref="N1" r:id="rId2" location="'Jan'!A1" xr:uid="{00000000-0004-0000-0200-000001000000}"/>
    <hyperlink ref="R1" r:id="rId3" location="'Mar'!A1" xr:uid="{00000000-0004-0000-02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991030-1AAB-4DDC-A1ED-31EA304B23E2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6A44B8C6-7412-4EF0-9DA5-3AD51CE99F92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A166DCDC-14C6-4957-8AAC-C0E5A6ECE5B4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F03490C0-56FF-4770-BEBE-A03043206B64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107</v>
      </c>
      <c r="O1" s="119"/>
      <c r="P1" s="119"/>
      <c r="Q1" s="119"/>
      <c r="R1" s="119" t="s">
        <v>108</v>
      </c>
      <c r="S1" s="119"/>
      <c r="T1" s="119"/>
      <c r="U1" s="119"/>
    </row>
    <row r="2" spans="1:21" ht="30" customHeight="1" x14ac:dyDescent="0.3">
      <c r="B2" s="120" t="s">
        <v>109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72200</v>
      </c>
      <c r="C7" s="104"/>
      <c r="D7" s="104"/>
      <c r="E7" s="104"/>
      <c r="F7" s="104"/>
      <c r="G7" s="105">
        <f>G31</f>
        <v>46944</v>
      </c>
      <c r="H7" s="105"/>
      <c r="I7" s="105"/>
      <c r="J7" s="105"/>
      <c r="K7" s="105"/>
      <c r="L7" s="106">
        <f>G32</f>
        <v>16590</v>
      </c>
      <c r="M7" s="106"/>
      <c r="N7" s="106"/>
      <c r="O7" s="106"/>
      <c r="P7" s="106"/>
      <c r="Q7" s="107">
        <f>G33</f>
        <v>8666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65000</v>
      </c>
      <c r="D12" s="16">
        <v>65000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14625</v>
      </c>
      <c r="J12" s="17">
        <f t="shared" ref="J12:J22" si="1">IF(H12=0,IF(I12=0,0,1),I12/H12)</f>
        <v>0.97499999999999998</v>
      </c>
      <c r="L12" s="15" t="s">
        <v>54</v>
      </c>
      <c r="M12" s="16">
        <v>6000</v>
      </c>
      <c r="N12" s="16">
        <v>6120</v>
      </c>
      <c r="O12" s="17">
        <f t="shared" ref="O12:O24" si="2">IF(M12=0,IF(N12=0,0,1),N12/M12)</f>
        <v>1.02</v>
      </c>
      <c r="Q12" s="15" t="s">
        <v>55</v>
      </c>
      <c r="R12" s="16">
        <v>3000</v>
      </c>
      <c r="S12" s="16">
        <v>2970</v>
      </c>
      <c r="T12" s="17">
        <f t="shared" ref="T12:T20" si="3">IF(R12=0,IF(S12=0,0,1),S12/R12)</f>
        <v>0.99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2200</v>
      </c>
      <c r="I13" s="19">
        <v>2222</v>
      </c>
      <c r="J13" s="20">
        <f t="shared" si="1"/>
        <v>1.01</v>
      </c>
      <c r="L13" s="18" t="s">
        <v>58</v>
      </c>
      <c r="M13" s="19">
        <v>2500</v>
      </c>
      <c r="N13" s="19">
        <v>2450</v>
      </c>
      <c r="O13" s="20">
        <f t="shared" si="2"/>
        <v>0.98</v>
      </c>
      <c r="Q13" s="18" t="s">
        <v>59</v>
      </c>
      <c r="R13" s="19">
        <v>5000</v>
      </c>
      <c r="S13" s="19">
        <v>5125</v>
      </c>
      <c r="T13" s="20">
        <f t="shared" si="3"/>
        <v>1.0249999999999999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297</v>
      </c>
      <c r="J14" s="17">
        <f t="shared" si="1"/>
        <v>0.99</v>
      </c>
      <c r="L14" s="15" t="s">
        <v>62</v>
      </c>
      <c r="M14" s="16">
        <v>2000</v>
      </c>
      <c r="N14" s="16">
        <v>2100</v>
      </c>
      <c r="O14" s="17">
        <f t="shared" si="2"/>
        <v>1.05</v>
      </c>
      <c r="Q14" s="15" t="s">
        <v>63</v>
      </c>
      <c r="R14" s="16">
        <v>2000</v>
      </c>
      <c r="S14" s="16">
        <v>2010</v>
      </c>
      <c r="T14" s="17">
        <f t="shared" si="3"/>
        <v>1.0049999999999999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820</v>
      </c>
      <c r="J15" s="20">
        <f t="shared" si="1"/>
        <v>1.0249999999999999</v>
      </c>
      <c r="L15" s="18" t="s">
        <v>66</v>
      </c>
      <c r="M15" s="19">
        <v>3000</v>
      </c>
      <c r="N15" s="19">
        <v>3030</v>
      </c>
      <c r="O15" s="20">
        <f t="shared" si="2"/>
        <v>1.01</v>
      </c>
      <c r="Q15" s="18" t="s">
        <v>67</v>
      </c>
      <c r="R15" s="19">
        <v>1000</v>
      </c>
      <c r="S15" s="19">
        <v>985</v>
      </c>
      <c r="T15" s="20">
        <f t="shared" si="3"/>
        <v>0.98499999999999999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402</v>
      </c>
      <c r="J16" s="17">
        <f t="shared" si="1"/>
        <v>1.0049999999999999</v>
      </c>
      <c r="L16" s="15" t="s">
        <v>70</v>
      </c>
      <c r="M16" s="16">
        <v>1000</v>
      </c>
      <c r="N16" s="16">
        <v>970</v>
      </c>
      <c r="O16" s="17">
        <f t="shared" si="2"/>
        <v>0.97</v>
      </c>
      <c r="Q16" s="15" t="s">
        <v>71</v>
      </c>
      <c r="R16" s="16">
        <v>2000</v>
      </c>
      <c r="S16" s="16">
        <v>2040</v>
      </c>
      <c r="T16" s="17">
        <f t="shared" si="3"/>
        <v>1.02</v>
      </c>
    </row>
    <row r="17" spans="2:21" x14ac:dyDescent="0.3">
      <c r="B17" s="18" t="s">
        <v>72</v>
      </c>
      <c r="C17" s="19">
        <v>0</v>
      </c>
      <c r="D17" s="19">
        <v>0</v>
      </c>
      <c r="E17" s="20">
        <f t="shared" si="0"/>
        <v>0</v>
      </c>
      <c r="G17" s="18" t="s">
        <v>73</v>
      </c>
      <c r="H17" s="19">
        <v>1200</v>
      </c>
      <c r="I17" s="19">
        <v>1182</v>
      </c>
      <c r="J17" s="20">
        <f t="shared" si="1"/>
        <v>0.98499999999999999</v>
      </c>
      <c r="L17" s="18" t="s">
        <v>74</v>
      </c>
      <c r="M17" s="19">
        <v>800</v>
      </c>
      <c r="N17" s="19">
        <v>832</v>
      </c>
      <c r="O17" s="20">
        <f t="shared" si="2"/>
        <v>1.04</v>
      </c>
      <c r="Q17" s="18" t="s">
        <v>75</v>
      </c>
      <c r="R17" s="19">
        <v>1500</v>
      </c>
      <c r="S17" s="19">
        <v>1500</v>
      </c>
      <c r="T17" s="20">
        <f t="shared" si="3"/>
        <v>1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6120</v>
      </c>
      <c r="J18" s="17">
        <f t="shared" si="1"/>
        <v>1.02</v>
      </c>
      <c r="L18" s="15" t="s">
        <v>78</v>
      </c>
      <c r="M18" s="16">
        <v>1000</v>
      </c>
      <c r="N18" s="16">
        <v>1000</v>
      </c>
      <c r="O18" s="17">
        <f t="shared" si="2"/>
        <v>1</v>
      </c>
      <c r="Q18" s="15" t="s">
        <v>79</v>
      </c>
      <c r="R18" s="16">
        <v>2000</v>
      </c>
      <c r="S18" s="16">
        <v>1960</v>
      </c>
      <c r="T18" s="17">
        <f t="shared" si="3"/>
        <v>0.98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500</v>
      </c>
      <c r="J19" s="20">
        <f t="shared" si="1"/>
        <v>1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72200</v>
      </c>
      <c r="D20" s="22">
        <f>SUM(D12:D19)</f>
        <v>72200</v>
      </c>
      <c r="E20" s="23">
        <f t="shared" si="0"/>
        <v>1</v>
      </c>
      <c r="G20" s="15" t="s">
        <v>85</v>
      </c>
      <c r="H20" s="16">
        <v>1500</v>
      </c>
      <c r="I20" s="16">
        <v>1470</v>
      </c>
      <c r="J20" s="17">
        <f t="shared" si="1"/>
        <v>0.98</v>
      </c>
      <c r="L20" s="15" t="s">
        <v>86</v>
      </c>
      <c r="M20" s="16">
        <v>1500</v>
      </c>
      <c r="N20" s="16">
        <v>1545</v>
      </c>
      <c r="O20" s="17">
        <f t="shared" si="2"/>
        <v>1.03</v>
      </c>
      <c r="Q20" s="24" t="s">
        <v>84</v>
      </c>
      <c r="R20" s="25">
        <f>SUM(R12:R19)</f>
        <v>16500</v>
      </c>
      <c r="S20" s="25">
        <f>SUM(S12:S19)</f>
        <v>16590</v>
      </c>
      <c r="T20" s="26">
        <f t="shared" si="3"/>
        <v>1.0054545454545454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600</v>
      </c>
      <c r="N21" s="19">
        <v>594</v>
      </c>
      <c r="O21" s="20">
        <f t="shared" si="2"/>
        <v>0.99</v>
      </c>
    </row>
    <row r="22" spans="2:21" x14ac:dyDescent="0.3">
      <c r="G22" s="27" t="s">
        <v>84</v>
      </c>
      <c r="H22" s="28">
        <f>SUM(H12:H21)</f>
        <v>27900</v>
      </c>
      <c r="I22" s="28">
        <f>SUM(I12:I21)</f>
        <v>27638</v>
      </c>
      <c r="J22" s="29">
        <f t="shared" si="1"/>
        <v>0.9906093189964158</v>
      </c>
      <c r="L22" s="15" t="s">
        <v>89</v>
      </c>
      <c r="M22" s="16">
        <v>700</v>
      </c>
      <c r="N22" s="16">
        <v>665</v>
      </c>
      <c r="O22" s="17">
        <f t="shared" si="2"/>
        <v>0.95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19100</v>
      </c>
      <c r="N24" s="31">
        <f>SUM(N12:N23)</f>
        <v>19306</v>
      </c>
      <c r="O24" s="32">
        <f t="shared" si="2"/>
        <v>1.010785340314136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72200</v>
      </c>
      <c r="G28" s="35">
        <f>D20</f>
        <v>72200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27900</v>
      </c>
      <c r="G29" s="37">
        <f>I22</f>
        <v>27638</v>
      </c>
      <c r="H29" s="38" t="str">
        <f>IF(G29&gt;F29,"⚠️ Over Budget","✅ On Budget")</f>
        <v>✅ On Budget</v>
      </c>
    </row>
    <row r="30" spans="2:21" x14ac:dyDescent="0.3">
      <c r="B30" s="98" t="s">
        <v>96</v>
      </c>
      <c r="C30" s="98"/>
      <c r="D30" s="98"/>
      <c r="E30" s="98"/>
      <c r="F30" s="35">
        <f>M24</f>
        <v>19100</v>
      </c>
      <c r="G30" s="35">
        <f>N24</f>
        <v>19306</v>
      </c>
      <c r="H30" s="36" t="str">
        <f>IF(G30&gt;F30,"⚠️ Over Budget","✅ On Budget")</f>
        <v>⚠️ Over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47000</v>
      </c>
      <c r="G31" s="37">
        <f>G29+G30</f>
        <v>46944</v>
      </c>
      <c r="H31" s="38" t="str">
        <f>IF(G31&gt;F31,"⚠️ Over Budget","✅ On Budget")</f>
        <v>✅ On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16590</v>
      </c>
      <c r="H32" s="36" t="str">
        <f>IF(G32&gt;=F32,"✅ Goal Met","⚠️ Below Goal")</f>
        <v>✅ Goal Met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8700</v>
      </c>
      <c r="G33" s="39">
        <f>G28-G31-G32</f>
        <v>8666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0.22853185595567868</v>
      </c>
      <c r="G34" s="40">
        <f>IF(G28=0,0,G32/G28)</f>
        <v>0.22977839335180056</v>
      </c>
      <c r="H34" s="41" t="str">
        <f>IF(G34&gt;=0.2,"🌟 Excellent","👍 Keep Going")</f>
        <v>🌟 Excellent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8666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120" priority="3">
      <formula>D12&gt;=C12</formula>
    </cfRule>
    <cfRule type="expression" dxfId="119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{E02BE25D-907C-4F80-8C36-FEE275674B9C}</x14:id>
        </ext>
      </extLst>
    </cfRule>
  </conditionalFormatting>
  <conditionalFormatting sqref="F33:G33">
    <cfRule type="expression" dxfId="118" priority="15">
      <formula>G33&lt;0</formula>
    </cfRule>
    <cfRule type="expression" dxfId="117" priority="16">
      <formula>G33&gt;=0</formula>
    </cfRule>
  </conditionalFormatting>
  <conditionalFormatting sqref="G36">
    <cfRule type="expression" dxfId="116" priority="17">
      <formula>G33&lt;0</formula>
    </cfRule>
  </conditionalFormatting>
  <conditionalFormatting sqref="H28:H34">
    <cfRule type="expression" dxfId="115" priority="12">
      <formula>ISNUMBER(SEARCH("⚠",H28))</formula>
    </cfRule>
    <cfRule type="expression" dxfId="114" priority="13">
      <formula>ISNUMBER(SEARCH("✅",H28))</formula>
    </cfRule>
    <cfRule type="expression" dxfId="113" priority="14">
      <formula>ISNUMBER(SEARCH("🌟",H28))</formula>
    </cfRule>
  </conditionalFormatting>
  <conditionalFormatting sqref="I12:I21">
    <cfRule type="expression" dxfId="112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{BB1052EE-CC79-4652-AAFF-1ECA8B9E3627}</x14:id>
        </ext>
      </extLst>
    </cfRule>
  </conditionalFormatting>
  <conditionalFormatting sqref="N12:N23">
    <cfRule type="expression" dxfId="111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{9662793E-C2F7-4D66-B613-D9F8D8CD2C1C}</x14:id>
        </ext>
      </extLst>
    </cfRule>
  </conditionalFormatting>
  <conditionalFormatting sqref="S12:S19">
    <cfRule type="expression" dxfId="110" priority="10">
      <formula>S12&gt;=R12</formula>
    </cfRule>
    <cfRule type="expression" dxfId="109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{6970833B-371F-43E1-BE71-EBCDFE9B1F92}</x14:id>
        </ext>
      </extLst>
    </cfRule>
  </conditionalFormatting>
  <hyperlinks>
    <hyperlink ref="B1" r:id="rId1" location="'Dashboard'!A1" xr:uid="{00000000-0004-0000-0300-000000000000}"/>
    <hyperlink ref="N1" r:id="rId2" location="'Feb'!A1" xr:uid="{00000000-0004-0000-0300-000001000000}"/>
    <hyperlink ref="R1" r:id="rId3" location="'Apr'!A1" xr:uid="{00000000-0004-0000-03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2BE25D-907C-4F80-8C36-FEE275674B9C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BB1052EE-CC79-4652-AAFF-1ECA8B9E3627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9662793E-C2F7-4D66-B613-D9F8D8CD2C1C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6970833B-371F-43E1-BE71-EBCDFE9B1F92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110</v>
      </c>
      <c r="O1" s="119"/>
      <c r="P1" s="119"/>
      <c r="Q1" s="119"/>
      <c r="R1" s="119" t="s">
        <v>111</v>
      </c>
      <c r="S1" s="119"/>
      <c r="T1" s="119"/>
      <c r="U1" s="119"/>
    </row>
    <row r="2" spans="1:21" ht="30" customHeight="1" x14ac:dyDescent="0.3">
      <c r="B2" s="120" t="s">
        <v>112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74200</v>
      </c>
      <c r="C7" s="104"/>
      <c r="D7" s="104"/>
      <c r="E7" s="104"/>
      <c r="F7" s="104"/>
      <c r="G7" s="105">
        <f>G31</f>
        <v>47821</v>
      </c>
      <c r="H7" s="105"/>
      <c r="I7" s="105"/>
      <c r="J7" s="105"/>
      <c r="K7" s="105"/>
      <c r="L7" s="106">
        <f>G32</f>
        <v>17325</v>
      </c>
      <c r="M7" s="106"/>
      <c r="N7" s="106"/>
      <c r="O7" s="106"/>
      <c r="P7" s="106"/>
      <c r="Q7" s="107">
        <f>G33</f>
        <v>9054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67000</v>
      </c>
      <c r="D12" s="16">
        <v>67000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14775</v>
      </c>
      <c r="J12" s="17">
        <f t="shared" ref="J12:J22" si="1">IF(H12=0,IF(I12=0,0,1),I12/H12)</f>
        <v>0.98499999999999999</v>
      </c>
      <c r="L12" s="15" t="s">
        <v>54</v>
      </c>
      <c r="M12" s="16">
        <v>6000</v>
      </c>
      <c r="N12" s="16">
        <v>6240</v>
      </c>
      <c r="O12" s="17">
        <f t="shared" ref="O12:O24" si="2">IF(M12=0,IF(N12=0,0,1),N12/M12)</f>
        <v>1.04</v>
      </c>
      <c r="Q12" s="15" t="s">
        <v>55</v>
      </c>
      <c r="R12" s="16">
        <v>3000</v>
      </c>
      <c r="S12" s="16">
        <v>3150</v>
      </c>
      <c r="T12" s="17">
        <f t="shared" ref="T12:T20" si="3">IF(R12=0,IF(S12=0,0,1),S12/R12)</f>
        <v>1.05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3080</v>
      </c>
      <c r="I13" s="19">
        <v>3142</v>
      </c>
      <c r="J13" s="20">
        <f t="shared" si="1"/>
        <v>1.0201298701298702</v>
      </c>
      <c r="L13" s="18" t="s">
        <v>58</v>
      </c>
      <c r="M13" s="19">
        <v>2500</v>
      </c>
      <c r="N13" s="19">
        <v>2500</v>
      </c>
      <c r="O13" s="20">
        <f t="shared" si="2"/>
        <v>1</v>
      </c>
      <c r="Q13" s="18" t="s">
        <v>59</v>
      </c>
      <c r="R13" s="19">
        <v>5000</v>
      </c>
      <c r="S13" s="19">
        <v>5250</v>
      </c>
      <c r="T13" s="20">
        <f t="shared" si="3"/>
        <v>1.05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300</v>
      </c>
      <c r="J14" s="17">
        <f t="shared" si="1"/>
        <v>1</v>
      </c>
      <c r="L14" s="15" t="s">
        <v>62</v>
      </c>
      <c r="M14" s="16">
        <v>2000</v>
      </c>
      <c r="N14" s="16">
        <v>1920</v>
      </c>
      <c r="O14" s="17">
        <f t="shared" si="2"/>
        <v>0.96</v>
      </c>
      <c r="Q14" s="15" t="s">
        <v>63</v>
      </c>
      <c r="R14" s="16">
        <v>2000</v>
      </c>
      <c r="S14" s="16">
        <v>2100</v>
      </c>
      <c r="T14" s="17">
        <f t="shared" si="3"/>
        <v>1.05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784</v>
      </c>
      <c r="J15" s="20">
        <f t="shared" si="1"/>
        <v>0.98</v>
      </c>
      <c r="L15" s="18" t="s">
        <v>66</v>
      </c>
      <c r="M15" s="19">
        <v>3000</v>
      </c>
      <c r="N15" s="19">
        <v>3090</v>
      </c>
      <c r="O15" s="20">
        <f t="shared" si="2"/>
        <v>1.03</v>
      </c>
      <c r="Q15" s="18" t="s">
        <v>67</v>
      </c>
      <c r="R15" s="19">
        <v>1000</v>
      </c>
      <c r="S15" s="19">
        <v>1050</v>
      </c>
      <c r="T15" s="20">
        <f t="shared" si="3"/>
        <v>1.05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406</v>
      </c>
      <c r="J16" s="17">
        <f t="shared" si="1"/>
        <v>1.0149999999999999</v>
      </c>
      <c r="L16" s="15" t="s">
        <v>70</v>
      </c>
      <c r="M16" s="16">
        <v>1000</v>
      </c>
      <c r="N16" s="16">
        <v>990</v>
      </c>
      <c r="O16" s="17">
        <f t="shared" si="2"/>
        <v>0.99</v>
      </c>
      <c r="Q16" s="15" t="s">
        <v>71</v>
      </c>
      <c r="R16" s="16">
        <v>2000</v>
      </c>
      <c r="S16" s="16">
        <v>2100</v>
      </c>
      <c r="T16" s="17">
        <f t="shared" si="3"/>
        <v>1.05</v>
      </c>
    </row>
    <row r="17" spans="2:21" x14ac:dyDescent="0.3">
      <c r="B17" s="18" t="s">
        <v>72</v>
      </c>
      <c r="C17" s="19">
        <v>0</v>
      </c>
      <c r="D17" s="19">
        <v>0</v>
      </c>
      <c r="E17" s="20">
        <f t="shared" si="0"/>
        <v>0</v>
      </c>
      <c r="G17" s="18" t="s">
        <v>73</v>
      </c>
      <c r="H17" s="19">
        <v>1200</v>
      </c>
      <c r="I17" s="19">
        <v>1194</v>
      </c>
      <c r="J17" s="20">
        <f t="shared" si="1"/>
        <v>0.995</v>
      </c>
      <c r="L17" s="18" t="s">
        <v>74</v>
      </c>
      <c r="M17" s="19">
        <v>800</v>
      </c>
      <c r="N17" s="19">
        <v>760</v>
      </c>
      <c r="O17" s="20">
        <f t="shared" si="2"/>
        <v>0.95</v>
      </c>
      <c r="Q17" s="18" t="s">
        <v>75</v>
      </c>
      <c r="R17" s="19">
        <v>1500</v>
      </c>
      <c r="S17" s="19">
        <v>1575</v>
      </c>
      <c r="T17" s="20">
        <f t="shared" si="3"/>
        <v>1.05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5850</v>
      </c>
      <c r="J18" s="17">
        <f t="shared" si="1"/>
        <v>0.97499999999999998</v>
      </c>
      <c r="L18" s="15" t="s">
        <v>78</v>
      </c>
      <c r="M18" s="16">
        <v>1000</v>
      </c>
      <c r="N18" s="16">
        <v>1020</v>
      </c>
      <c r="O18" s="17">
        <f t="shared" si="2"/>
        <v>1.02</v>
      </c>
      <c r="Q18" s="15" t="s">
        <v>79</v>
      </c>
      <c r="R18" s="16">
        <v>2000</v>
      </c>
      <c r="S18" s="16">
        <v>2100</v>
      </c>
      <c r="T18" s="17">
        <f t="shared" si="3"/>
        <v>1.05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505</v>
      </c>
      <c r="J19" s="20">
        <f t="shared" si="1"/>
        <v>1.01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74200</v>
      </c>
      <c r="D20" s="22">
        <f>SUM(D12:D19)</f>
        <v>74200</v>
      </c>
      <c r="E20" s="23">
        <f t="shared" si="0"/>
        <v>1</v>
      </c>
      <c r="G20" s="15" t="s">
        <v>85</v>
      </c>
      <c r="H20" s="16">
        <v>1500</v>
      </c>
      <c r="I20" s="16">
        <v>1485</v>
      </c>
      <c r="J20" s="17">
        <f t="shared" si="1"/>
        <v>0.99</v>
      </c>
      <c r="L20" s="15" t="s">
        <v>86</v>
      </c>
      <c r="M20" s="16">
        <v>1500</v>
      </c>
      <c r="N20" s="16">
        <v>1575</v>
      </c>
      <c r="O20" s="17">
        <f t="shared" si="2"/>
        <v>1.05</v>
      </c>
      <c r="Q20" s="24" t="s">
        <v>84</v>
      </c>
      <c r="R20" s="25">
        <f>SUM(R12:R19)</f>
        <v>16500</v>
      </c>
      <c r="S20" s="25">
        <f>SUM(S12:S19)</f>
        <v>17325</v>
      </c>
      <c r="T20" s="26">
        <f t="shared" si="3"/>
        <v>1.05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600</v>
      </c>
      <c r="N21" s="19">
        <v>606</v>
      </c>
      <c r="O21" s="20">
        <f t="shared" si="2"/>
        <v>1.01</v>
      </c>
    </row>
    <row r="22" spans="2:21" x14ac:dyDescent="0.3">
      <c r="G22" s="27" t="s">
        <v>84</v>
      </c>
      <c r="H22" s="28">
        <f>SUM(H12:H21)</f>
        <v>28780</v>
      </c>
      <c r="I22" s="28">
        <f>SUM(I12:I21)</f>
        <v>28441</v>
      </c>
      <c r="J22" s="29">
        <f t="shared" si="1"/>
        <v>0.98822098679638637</v>
      </c>
      <c r="L22" s="15" t="s">
        <v>89</v>
      </c>
      <c r="M22" s="16">
        <v>700</v>
      </c>
      <c r="N22" s="16">
        <v>679</v>
      </c>
      <c r="O22" s="17">
        <f t="shared" si="2"/>
        <v>0.97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19100</v>
      </c>
      <c r="N24" s="31">
        <f>SUM(N12:N23)</f>
        <v>19380</v>
      </c>
      <c r="O24" s="32">
        <f t="shared" si="2"/>
        <v>1.0146596858638743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74200</v>
      </c>
      <c r="G28" s="35">
        <f>D20</f>
        <v>74200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28780</v>
      </c>
      <c r="G29" s="37">
        <f>I22</f>
        <v>28441</v>
      </c>
      <c r="H29" s="38" t="str">
        <f>IF(G29&gt;F29,"⚠️ Over Budget","✅ On Budget")</f>
        <v>✅ On Budget</v>
      </c>
    </row>
    <row r="30" spans="2:21" x14ac:dyDescent="0.3">
      <c r="B30" s="98" t="s">
        <v>96</v>
      </c>
      <c r="C30" s="98"/>
      <c r="D30" s="98"/>
      <c r="E30" s="98"/>
      <c r="F30" s="35">
        <f>M24</f>
        <v>19100</v>
      </c>
      <c r="G30" s="35">
        <f>N24</f>
        <v>19380</v>
      </c>
      <c r="H30" s="36" t="str">
        <f>IF(G30&gt;F30,"⚠️ Over Budget","✅ On Budget")</f>
        <v>⚠️ Over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47880</v>
      </c>
      <c r="G31" s="37">
        <f>G29+G30</f>
        <v>47821</v>
      </c>
      <c r="H31" s="38" t="str">
        <f>IF(G31&gt;F31,"⚠️ Over Budget","✅ On Budget")</f>
        <v>✅ On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17325</v>
      </c>
      <c r="H32" s="36" t="str">
        <f>IF(G32&gt;=F32,"✅ Goal Met","⚠️ Below Goal")</f>
        <v>✅ Goal Met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9820</v>
      </c>
      <c r="G33" s="39">
        <f>G28-G31-G32</f>
        <v>9054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0.22237196765498651</v>
      </c>
      <c r="G34" s="40">
        <f>IF(G28=0,0,G32/G28)</f>
        <v>0.23349056603773585</v>
      </c>
      <c r="H34" s="41" t="str">
        <f>IF(G34&gt;=0.2,"🌟 Excellent","👍 Keep Going")</f>
        <v>🌟 Excellent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9054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108" priority="3">
      <formula>D12&gt;=C12</formula>
    </cfRule>
    <cfRule type="expression" dxfId="107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{D4A14030-FFE1-4071-9FA8-A5B89ACF602B}</x14:id>
        </ext>
      </extLst>
    </cfRule>
  </conditionalFormatting>
  <conditionalFormatting sqref="F33:G33">
    <cfRule type="expression" dxfId="106" priority="15">
      <formula>G33&lt;0</formula>
    </cfRule>
    <cfRule type="expression" dxfId="105" priority="16">
      <formula>G33&gt;=0</formula>
    </cfRule>
  </conditionalFormatting>
  <conditionalFormatting sqref="G36">
    <cfRule type="expression" dxfId="104" priority="17">
      <formula>G33&lt;0</formula>
    </cfRule>
  </conditionalFormatting>
  <conditionalFormatting sqref="H28:H34">
    <cfRule type="expression" dxfId="103" priority="12">
      <formula>ISNUMBER(SEARCH("⚠",H28))</formula>
    </cfRule>
    <cfRule type="expression" dxfId="102" priority="13">
      <formula>ISNUMBER(SEARCH("✅",H28))</formula>
    </cfRule>
    <cfRule type="expression" dxfId="101" priority="14">
      <formula>ISNUMBER(SEARCH("🌟",H28))</formula>
    </cfRule>
  </conditionalFormatting>
  <conditionalFormatting sqref="I12:I21">
    <cfRule type="expression" dxfId="100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{B0BBA19D-C3DC-452C-8355-585EB81FDB8E}</x14:id>
        </ext>
      </extLst>
    </cfRule>
  </conditionalFormatting>
  <conditionalFormatting sqref="N12:N23">
    <cfRule type="expression" dxfId="99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{7FA0E390-5CCF-4BA6-A094-D6CBE12A9DDC}</x14:id>
        </ext>
      </extLst>
    </cfRule>
  </conditionalFormatting>
  <conditionalFormatting sqref="S12:S19">
    <cfRule type="expression" dxfId="98" priority="10">
      <formula>S12&gt;=R12</formula>
    </cfRule>
    <cfRule type="expression" dxfId="97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{D8549CC1-436A-45AE-A2E0-4563A37D5E41}</x14:id>
        </ext>
      </extLst>
    </cfRule>
  </conditionalFormatting>
  <hyperlinks>
    <hyperlink ref="B1" r:id="rId1" location="'Dashboard'!A1" xr:uid="{00000000-0004-0000-0400-000000000000}"/>
    <hyperlink ref="N1" r:id="rId2" location="'Mar'!A1" xr:uid="{00000000-0004-0000-0400-000001000000}"/>
    <hyperlink ref="R1" r:id="rId3" location="'May'!A1" xr:uid="{00000000-0004-0000-04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A14030-FFE1-4071-9FA8-A5B89ACF602B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B0BBA19D-C3DC-452C-8355-585EB81FDB8E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7FA0E390-5CCF-4BA6-A094-D6CBE12A9DDC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D8549CC1-436A-45AE-A2E0-4563A37D5E41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113</v>
      </c>
      <c r="O1" s="119"/>
      <c r="P1" s="119"/>
      <c r="Q1" s="119"/>
      <c r="R1" s="119" t="s">
        <v>114</v>
      </c>
      <c r="S1" s="119"/>
      <c r="T1" s="119"/>
      <c r="U1" s="119"/>
    </row>
    <row r="2" spans="1:21" ht="30" customHeight="1" x14ac:dyDescent="0.3">
      <c r="B2" s="120" t="s">
        <v>115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74200</v>
      </c>
      <c r="C7" s="104"/>
      <c r="D7" s="104"/>
      <c r="E7" s="104"/>
      <c r="F7" s="104"/>
      <c r="G7" s="105">
        <f>G31</f>
        <v>55125</v>
      </c>
      <c r="H7" s="105"/>
      <c r="I7" s="105"/>
      <c r="J7" s="105"/>
      <c r="K7" s="105"/>
      <c r="L7" s="106">
        <f>G32</f>
        <v>16535</v>
      </c>
      <c r="M7" s="106"/>
      <c r="N7" s="106"/>
      <c r="O7" s="106"/>
      <c r="P7" s="106"/>
      <c r="Q7" s="107">
        <f>G33</f>
        <v>2540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67000</v>
      </c>
      <c r="D12" s="16">
        <v>67000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14925</v>
      </c>
      <c r="J12" s="17">
        <f t="shared" ref="J12:J22" si="1">IF(H12=0,IF(I12=0,0,1),I12/H12)</f>
        <v>0.995</v>
      </c>
      <c r="L12" s="15" t="s">
        <v>54</v>
      </c>
      <c r="M12" s="16">
        <v>6000</v>
      </c>
      <c r="N12" s="16">
        <v>5700</v>
      </c>
      <c r="O12" s="17">
        <f t="shared" ref="O12:O24" si="2">IF(M12=0,IF(N12=0,0,1),N12/M12)</f>
        <v>0.95</v>
      </c>
      <c r="Q12" s="15" t="s">
        <v>55</v>
      </c>
      <c r="R12" s="16">
        <v>3000</v>
      </c>
      <c r="S12" s="16">
        <v>3030</v>
      </c>
      <c r="T12" s="17">
        <f t="shared" ref="T12:T20" si="3">IF(R12=0,IF(S12=0,0,1),S12/R12)</f>
        <v>1.01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3520</v>
      </c>
      <c r="I13" s="19">
        <v>3432</v>
      </c>
      <c r="J13" s="20">
        <f t="shared" si="1"/>
        <v>0.97499999999999998</v>
      </c>
      <c r="L13" s="18" t="s">
        <v>58</v>
      </c>
      <c r="M13" s="19">
        <v>2500</v>
      </c>
      <c r="N13" s="19">
        <v>2550</v>
      </c>
      <c r="O13" s="20">
        <f t="shared" si="2"/>
        <v>1.02</v>
      </c>
      <c r="Q13" s="18" t="s">
        <v>59</v>
      </c>
      <c r="R13" s="19">
        <v>5000</v>
      </c>
      <c r="S13" s="19">
        <v>4950</v>
      </c>
      <c r="T13" s="20">
        <f t="shared" si="3"/>
        <v>0.99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303</v>
      </c>
      <c r="J14" s="17">
        <f t="shared" si="1"/>
        <v>1.01</v>
      </c>
      <c r="L14" s="15" t="s">
        <v>62</v>
      </c>
      <c r="M14" s="16">
        <v>2000</v>
      </c>
      <c r="N14" s="16">
        <v>1960</v>
      </c>
      <c r="O14" s="17">
        <f t="shared" si="2"/>
        <v>0.98</v>
      </c>
      <c r="Q14" s="15" t="s">
        <v>63</v>
      </c>
      <c r="R14" s="16">
        <v>2000</v>
      </c>
      <c r="S14" s="16">
        <v>2050</v>
      </c>
      <c r="T14" s="17">
        <f t="shared" si="3"/>
        <v>1.0249999999999999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792</v>
      </c>
      <c r="J15" s="20">
        <f t="shared" si="1"/>
        <v>0.99</v>
      </c>
      <c r="L15" s="18" t="s">
        <v>66</v>
      </c>
      <c r="M15" s="19">
        <v>3000</v>
      </c>
      <c r="N15" s="19">
        <v>3150</v>
      </c>
      <c r="O15" s="20">
        <f t="shared" si="2"/>
        <v>1.05</v>
      </c>
      <c r="Q15" s="18" t="s">
        <v>67</v>
      </c>
      <c r="R15" s="19">
        <v>1000</v>
      </c>
      <c r="S15" s="19">
        <v>1005</v>
      </c>
      <c r="T15" s="20">
        <f t="shared" si="3"/>
        <v>1.0049999999999999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410</v>
      </c>
      <c r="J16" s="17">
        <f t="shared" si="1"/>
        <v>1.0249999999999999</v>
      </c>
      <c r="L16" s="15" t="s">
        <v>70</v>
      </c>
      <c r="M16" s="16">
        <v>1000</v>
      </c>
      <c r="N16" s="16">
        <v>1010</v>
      </c>
      <c r="O16" s="17">
        <f t="shared" si="2"/>
        <v>1.01</v>
      </c>
      <c r="Q16" s="15" t="s">
        <v>71</v>
      </c>
      <c r="R16" s="16">
        <v>2000</v>
      </c>
      <c r="S16" s="16">
        <v>1970</v>
      </c>
      <c r="T16" s="17">
        <f t="shared" si="3"/>
        <v>0.98499999999999999</v>
      </c>
    </row>
    <row r="17" spans="2:21" x14ac:dyDescent="0.3">
      <c r="B17" s="18" t="s">
        <v>72</v>
      </c>
      <c r="C17" s="19">
        <v>0</v>
      </c>
      <c r="D17" s="19">
        <v>0</v>
      </c>
      <c r="E17" s="20">
        <f t="shared" si="0"/>
        <v>0</v>
      </c>
      <c r="G17" s="18" t="s">
        <v>73</v>
      </c>
      <c r="H17" s="19">
        <v>1200</v>
      </c>
      <c r="I17" s="19">
        <v>1206</v>
      </c>
      <c r="J17" s="20">
        <f t="shared" si="1"/>
        <v>1.0049999999999999</v>
      </c>
      <c r="L17" s="18" t="s">
        <v>74</v>
      </c>
      <c r="M17" s="19">
        <v>800</v>
      </c>
      <c r="N17" s="19">
        <v>776</v>
      </c>
      <c r="O17" s="20">
        <f t="shared" si="2"/>
        <v>0.97</v>
      </c>
      <c r="Q17" s="18" t="s">
        <v>75</v>
      </c>
      <c r="R17" s="19">
        <v>1500</v>
      </c>
      <c r="S17" s="19">
        <v>1530</v>
      </c>
      <c r="T17" s="20">
        <f t="shared" si="3"/>
        <v>1.02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5910</v>
      </c>
      <c r="J18" s="17">
        <f t="shared" si="1"/>
        <v>0.98499999999999999</v>
      </c>
      <c r="L18" s="15" t="s">
        <v>78</v>
      </c>
      <c r="M18" s="16">
        <v>1000</v>
      </c>
      <c r="N18" s="16">
        <v>1040</v>
      </c>
      <c r="O18" s="17">
        <f t="shared" si="2"/>
        <v>1.04</v>
      </c>
      <c r="Q18" s="15" t="s">
        <v>79</v>
      </c>
      <c r="R18" s="16">
        <v>2000</v>
      </c>
      <c r="S18" s="16">
        <v>2000</v>
      </c>
      <c r="T18" s="17">
        <f t="shared" si="3"/>
        <v>1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510</v>
      </c>
      <c r="J19" s="20">
        <f t="shared" si="1"/>
        <v>1.02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74200</v>
      </c>
      <c r="D20" s="22">
        <f>SUM(D12:D19)</f>
        <v>74200</v>
      </c>
      <c r="E20" s="23">
        <f t="shared" si="0"/>
        <v>1</v>
      </c>
      <c r="G20" s="15" t="s">
        <v>85</v>
      </c>
      <c r="H20" s="16">
        <v>1500</v>
      </c>
      <c r="I20" s="16">
        <v>1500</v>
      </c>
      <c r="J20" s="17">
        <f t="shared" si="1"/>
        <v>1</v>
      </c>
      <c r="L20" s="15" t="s">
        <v>86</v>
      </c>
      <c r="M20" s="16">
        <v>9000</v>
      </c>
      <c r="N20" s="16">
        <v>8640</v>
      </c>
      <c r="O20" s="17">
        <f t="shared" si="2"/>
        <v>0.96</v>
      </c>
      <c r="Q20" s="24" t="s">
        <v>84</v>
      </c>
      <c r="R20" s="25">
        <f>SUM(R12:R19)</f>
        <v>16500</v>
      </c>
      <c r="S20" s="25">
        <f>SUM(S12:S19)</f>
        <v>16535</v>
      </c>
      <c r="T20" s="26">
        <f t="shared" si="3"/>
        <v>1.0021212121212122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600</v>
      </c>
      <c r="N21" s="19">
        <v>618</v>
      </c>
      <c r="O21" s="20">
        <f t="shared" si="2"/>
        <v>1.03</v>
      </c>
    </row>
    <row r="22" spans="2:21" x14ac:dyDescent="0.3">
      <c r="G22" s="27" t="s">
        <v>84</v>
      </c>
      <c r="H22" s="28">
        <f>SUM(H12:H21)</f>
        <v>29220</v>
      </c>
      <c r="I22" s="28">
        <f>SUM(I12:I21)</f>
        <v>28988</v>
      </c>
      <c r="J22" s="29">
        <f t="shared" si="1"/>
        <v>0.99206023271731691</v>
      </c>
      <c r="L22" s="15" t="s">
        <v>89</v>
      </c>
      <c r="M22" s="16">
        <v>700</v>
      </c>
      <c r="N22" s="16">
        <v>693</v>
      </c>
      <c r="O22" s="17">
        <f t="shared" si="2"/>
        <v>0.99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26600</v>
      </c>
      <c r="N24" s="31">
        <f>SUM(N12:N23)</f>
        <v>26137</v>
      </c>
      <c r="O24" s="32">
        <f t="shared" si="2"/>
        <v>0.98259398496240602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74200</v>
      </c>
      <c r="G28" s="35">
        <f>D20</f>
        <v>74200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29220</v>
      </c>
      <c r="G29" s="37">
        <f>I22</f>
        <v>28988</v>
      </c>
      <c r="H29" s="38" t="str">
        <f>IF(G29&gt;F29,"⚠️ Over Budget","✅ On Budget")</f>
        <v>✅ On Budget</v>
      </c>
    </row>
    <row r="30" spans="2:21" x14ac:dyDescent="0.3">
      <c r="B30" s="98" t="s">
        <v>96</v>
      </c>
      <c r="C30" s="98"/>
      <c r="D30" s="98"/>
      <c r="E30" s="98"/>
      <c r="F30" s="35">
        <f>M24</f>
        <v>26600</v>
      </c>
      <c r="G30" s="35">
        <f>N24</f>
        <v>26137</v>
      </c>
      <c r="H30" s="36" t="str">
        <f>IF(G30&gt;F30,"⚠️ Over Budget","✅ On Budget")</f>
        <v>✅ On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55820</v>
      </c>
      <c r="G31" s="37">
        <f>G29+G30</f>
        <v>55125</v>
      </c>
      <c r="H31" s="38" t="str">
        <f>IF(G31&gt;F31,"⚠️ Over Budget","✅ On Budget")</f>
        <v>✅ On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16535</v>
      </c>
      <c r="H32" s="36" t="str">
        <f>IF(G32&gt;=F32,"✅ Goal Met","⚠️ Below Goal")</f>
        <v>✅ Goal Met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1880</v>
      </c>
      <c r="G33" s="39">
        <f>G28-G31-G32</f>
        <v>2540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0.22237196765498651</v>
      </c>
      <c r="G34" s="40">
        <f>IF(G28=0,0,G32/G28)</f>
        <v>0.22284366576819406</v>
      </c>
      <c r="H34" s="41" t="str">
        <f>IF(G34&gt;=0.2,"🌟 Excellent","👍 Keep Going")</f>
        <v>🌟 Excellent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2540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96" priority="3">
      <formula>D12&gt;=C12</formula>
    </cfRule>
    <cfRule type="expression" dxfId="95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{F4ACEEFE-4984-4862-BEBF-3F3F304B19F2}</x14:id>
        </ext>
      </extLst>
    </cfRule>
  </conditionalFormatting>
  <conditionalFormatting sqref="F33:G33">
    <cfRule type="expression" dxfId="94" priority="15">
      <formula>G33&lt;0</formula>
    </cfRule>
    <cfRule type="expression" dxfId="93" priority="16">
      <formula>G33&gt;=0</formula>
    </cfRule>
  </conditionalFormatting>
  <conditionalFormatting sqref="G36">
    <cfRule type="expression" dxfId="92" priority="17">
      <formula>G33&lt;0</formula>
    </cfRule>
  </conditionalFormatting>
  <conditionalFormatting sqref="H28:H34">
    <cfRule type="expression" dxfId="91" priority="12">
      <formula>ISNUMBER(SEARCH("⚠",H28))</formula>
    </cfRule>
    <cfRule type="expression" dxfId="90" priority="13">
      <formula>ISNUMBER(SEARCH("✅",H28))</formula>
    </cfRule>
    <cfRule type="expression" dxfId="89" priority="14">
      <formula>ISNUMBER(SEARCH("🌟",H28))</formula>
    </cfRule>
  </conditionalFormatting>
  <conditionalFormatting sqref="I12:I21">
    <cfRule type="expression" dxfId="88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{301C10BF-B081-42AD-BD5E-BB1A313D521B}</x14:id>
        </ext>
      </extLst>
    </cfRule>
  </conditionalFormatting>
  <conditionalFormatting sqref="N12:N23">
    <cfRule type="expression" dxfId="87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{4675FEDA-86F5-4C74-92C8-39F9524480B0}</x14:id>
        </ext>
      </extLst>
    </cfRule>
  </conditionalFormatting>
  <conditionalFormatting sqref="S12:S19">
    <cfRule type="expression" dxfId="86" priority="10">
      <formula>S12&gt;=R12</formula>
    </cfRule>
    <cfRule type="expression" dxfId="85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{32C8644A-C344-4175-B5E3-6D591C5FA09F}</x14:id>
        </ext>
      </extLst>
    </cfRule>
  </conditionalFormatting>
  <hyperlinks>
    <hyperlink ref="B1" r:id="rId1" location="'Dashboard'!A1" xr:uid="{00000000-0004-0000-0500-000000000000}"/>
    <hyperlink ref="N1" r:id="rId2" location="'Apr'!A1" xr:uid="{00000000-0004-0000-0500-000001000000}"/>
    <hyperlink ref="R1" r:id="rId3" location="'Jun'!A1" xr:uid="{00000000-0004-0000-05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ACEEFE-4984-4862-BEBF-3F3F304B19F2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301C10BF-B081-42AD-BD5E-BB1A313D521B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4675FEDA-86F5-4C74-92C8-39F9524480B0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32C8644A-C344-4175-B5E3-6D591C5FA09F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116</v>
      </c>
      <c r="O1" s="119"/>
      <c r="P1" s="119"/>
      <c r="Q1" s="119"/>
      <c r="R1" s="119" t="s">
        <v>117</v>
      </c>
      <c r="S1" s="119"/>
      <c r="T1" s="119"/>
      <c r="U1" s="119"/>
    </row>
    <row r="2" spans="1:21" ht="30" customHeight="1" x14ac:dyDescent="0.3">
      <c r="B2" s="120" t="s">
        <v>118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74200</v>
      </c>
      <c r="C7" s="104"/>
      <c r="D7" s="104"/>
      <c r="E7" s="104"/>
      <c r="F7" s="104"/>
      <c r="G7" s="105">
        <f>G31</f>
        <v>47893</v>
      </c>
      <c r="H7" s="105"/>
      <c r="I7" s="105"/>
      <c r="J7" s="105"/>
      <c r="K7" s="105"/>
      <c r="L7" s="106">
        <f>G32</f>
        <v>16507</v>
      </c>
      <c r="M7" s="106"/>
      <c r="N7" s="106"/>
      <c r="O7" s="106"/>
      <c r="P7" s="106"/>
      <c r="Q7" s="107">
        <f>G33</f>
        <v>9800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67000</v>
      </c>
      <c r="D12" s="16">
        <v>67000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15075</v>
      </c>
      <c r="J12" s="17">
        <f t="shared" ref="J12:J22" si="1">IF(H12=0,IF(I12=0,0,1),I12/H12)</f>
        <v>1.0049999999999999</v>
      </c>
      <c r="L12" s="15" t="s">
        <v>54</v>
      </c>
      <c r="M12" s="16">
        <v>6000</v>
      </c>
      <c r="N12" s="16">
        <v>5820</v>
      </c>
      <c r="O12" s="17">
        <f t="shared" ref="O12:O24" si="2">IF(M12=0,IF(N12=0,0,1),N12/M12)</f>
        <v>0.97</v>
      </c>
      <c r="Q12" s="15" t="s">
        <v>55</v>
      </c>
      <c r="R12" s="16">
        <v>3000</v>
      </c>
      <c r="S12" s="16">
        <v>3060</v>
      </c>
      <c r="T12" s="17">
        <f t="shared" ref="T12:T20" si="3">IF(R12=0,IF(S12=0,0,1),S12/R12)</f>
        <v>1.02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3300</v>
      </c>
      <c r="I13" s="19">
        <v>3250</v>
      </c>
      <c r="J13" s="20">
        <f t="shared" si="1"/>
        <v>0.98484848484848486</v>
      </c>
      <c r="L13" s="18" t="s">
        <v>58</v>
      </c>
      <c r="M13" s="19">
        <v>2500</v>
      </c>
      <c r="N13" s="19">
        <v>2600</v>
      </c>
      <c r="O13" s="20">
        <f t="shared" si="2"/>
        <v>1.04</v>
      </c>
      <c r="Q13" s="18" t="s">
        <v>59</v>
      </c>
      <c r="R13" s="19">
        <v>5000</v>
      </c>
      <c r="S13" s="19">
        <v>5000</v>
      </c>
      <c r="T13" s="20">
        <f t="shared" si="3"/>
        <v>1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306</v>
      </c>
      <c r="J14" s="17">
        <f t="shared" si="1"/>
        <v>1.02</v>
      </c>
      <c r="L14" s="15" t="s">
        <v>62</v>
      </c>
      <c r="M14" s="16">
        <v>2000</v>
      </c>
      <c r="N14" s="16">
        <v>2000</v>
      </c>
      <c r="O14" s="17">
        <f t="shared" si="2"/>
        <v>1</v>
      </c>
      <c r="Q14" s="15" t="s">
        <v>63</v>
      </c>
      <c r="R14" s="16">
        <v>2000</v>
      </c>
      <c r="S14" s="16">
        <v>1960</v>
      </c>
      <c r="T14" s="17">
        <f t="shared" si="3"/>
        <v>0.98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800</v>
      </c>
      <c r="J15" s="20">
        <f t="shared" si="1"/>
        <v>1</v>
      </c>
      <c r="L15" s="18" t="s">
        <v>66</v>
      </c>
      <c r="M15" s="19">
        <v>3000</v>
      </c>
      <c r="N15" s="19">
        <v>2880</v>
      </c>
      <c r="O15" s="20">
        <f t="shared" si="2"/>
        <v>0.96</v>
      </c>
      <c r="Q15" s="18" t="s">
        <v>67</v>
      </c>
      <c r="R15" s="19">
        <v>1000</v>
      </c>
      <c r="S15" s="19">
        <v>1015</v>
      </c>
      <c r="T15" s="20">
        <f t="shared" si="3"/>
        <v>1.0149999999999999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392</v>
      </c>
      <c r="J16" s="17">
        <f t="shared" si="1"/>
        <v>0.98</v>
      </c>
      <c r="L16" s="15" t="s">
        <v>70</v>
      </c>
      <c r="M16" s="16">
        <v>1000</v>
      </c>
      <c r="N16" s="16">
        <v>1030</v>
      </c>
      <c r="O16" s="17">
        <f t="shared" si="2"/>
        <v>1.03</v>
      </c>
      <c r="Q16" s="15" t="s">
        <v>71</v>
      </c>
      <c r="R16" s="16">
        <v>2000</v>
      </c>
      <c r="S16" s="16">
        <v>1990</v>
      </c>
      <c r="T16" s="17">
        <f t="shared" si="3"/>
        <v>0.995</v>
      </c>
    </row>
    <row r="17" spans="2:21" x14ac:dyDescent="0.3">
      <c r="B17" s="18" t="s">
        <v>72</v>
      </c>
      <c r="C17" s="19">
        <v>0</v>
      </c>
      <c r="D17" s="19">
        <v>0</v>
      </c>
      <c r="E17" s="20">
        <f t="shared" si="0"/>
        <v>0</v>
      </c>
      <c r="G17" s="18" t="s">
        <v>73</v>
      </c>
      <c r="H17" s="19">
        <v>1200</v>
      </c>
      <c r="I17" s="19">
        <v>1218</v>
      </c>
      <c r="J17" s="20">
        <f t="shared" si="1"/>
        <v>1.0149999999999999</v>
      </c>
      <c r="L17" s="18" t="s">
        <v>74</v>
      </c>
      <c r="M17" s="19">
        <v>800</v>
      </c>
      <c r="N17" s="19">
        <v>792</v>
      </c>
      <c r="O17" s="20">
        <f t="shared" si="2"/>
        <v>0.99</v>
      </c>
      <c r="Q17" s="18" t="s">
        <v>75</v>
      </c>
      <c r="R17" s="19">
        <v>1500</v>
      </c>
      <c r="S17" s="19">
        <v>1462</v>
      </c>
      <c r="T17" s="20">
        <f t="shared" si="3"/>
        <v>0.97466666666666668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5970</v>
      </c>
      <c r="J18" s="17">
        <f t="shared" si="1"/>
        <v>0.995</v>
      </c>
      <c r="L18" s="15" t="s">
        <v>78</v>
      </c>
      <c r="M18" s="16">
        <v>1000</v>
      </c>
      <c r="N18" s="16">
        <v>950</v>
      </c>
      <c r="O18" s="17">
        <f t="shared" si="2"/>
        <v>0.95</v>
      </c>
      <c r="Q18" s="15" t="s">
        <v>79</v>
      </c>
      <c r="R18" s="16">
        <v>2000</v>
      </c>
      <c r="S18" s="16">
        <v>2020</v>
      </c>
      <c r="T18" s="17">
        <f t="shared" si="3"/>
        <v>1.01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488</v>
      </c>
      <c r="J19" s="20">
        <f t="shared" si="1"/>
        <v>0.97599999999999998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74200</v>
      </c>
      <c r="D20" s="22">
        <f>SUM(D12:D19)</f>
        <v>74200</v>
      </c>
      <c r="E20" s="23">
        <f t="shared" si="0"/>
        <v>1</v>
      </c>
      <c r="G20" s="15" t="s">
        <v>85</v>
      </c>
      <c r="H20" s="16">
        <v>1500</v>
      </c>
      <c r="I20" s="16">
        <v>1515</v>
      </c>
      <c r="J20" s="17">
        <f t="shared" si="1"/>
        <v>1.01</v>
      </c>
      <c r="L20" s="15" t="s">
        <v>86</v>
      </c>
      <c r="M20" s="16">
        <v>1500</v>
      </c>
      <c r="N20" s="16">
        <v>1470</v>
      </c>
      <c r="O20" s="17">
        <f t="shared" si="2"/>
        <v>0.98</v>
      </c>
      <c r="Q20" s="24" t="s">
        <v>84</v>
      </c>
      <c r="R20" s="25">
        <f>SUM(R12:R19)</f>
        <v>16500</v>
      </c>
      <c r="S20" s="25">
        <f>SUM(S12:S19)</f>
        <v>16507</v>
      </c>
      <c r="T20" s="26">
        <f t="shared" si="3"/>
        <v>1.0004242424242424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600</v>
      </c>
      <c r="N21" s="19">
        <v>630</v>
      </c>
      <c r="O21" s="20">
        <f t="shared" si="2"/>
        <v>1.05</v>
      </c>
    </row>
    <row r="22" spans="2:21" x14ac:dyDescent="0.3">
      <c r="G22" s="27" t="s">
        <v>84</v>
      </c>
      <c r="H22" s="28">
        <f>SUM(H12:H21)</f>
        <v>29000</v>
      </c>
      <c r="I22" s="28">
        <f>SUM(I12:I21)</f>
        <v>29014</v>
      </c>
      <c r="J22" s="29">
        <f t="shared" si="1"/>
        <v>1.0004827586206897</v>
      </c>
      <c r="L22" s="15" t="s">
        <v>89</v>
      </c>
      <c r="M22" s="16">
        <v>700</v>
      </c>
      <c r="N22" s="16">
        <v>707</v>
      </c>
      <c r="O22" s="17">
        <f t="shared" si="2"/>
        <v>1.01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19100</v>
      </c>
      <c r="N24" s="31">
        <f>SUM(N12:N23)</f>
        <v>18879</v>
      </c>
      <c r="O24" s="32">
        <f t="shared" si="2"/>
        <v>0.98842931937172773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74200</v>
      </c>
      <c r="G28" s="35">
        <f>D20</f>
        <v>74200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29000</v>
      </c>
      <c r="G29" s="37">
        <f>I22</f>
        <v>29014</v>
      </c>
      <c r="H29" s="38" t="str">
        <f>IF(G29&gt;F29,"⚠️ Over Budget","✅ On Budget")</f>
        <v>⚠️ Over Budget</v>
      </c>
    </row>
    <row r="30" spans="2:21" x14ac:dyDescent="0.3">
      <c r="B30" s="98" t="s">
        <v>96</v>
      </c>
      <c r="C30" s="98"/>
      <c r="D30" s="98"/>
      <c r="E30" s="98"/>
      <c r="F30" s="35">
        <f>M24</f>
        <v>19100</v>
      </c>
      <c r="G30" s="35">
        <f>N24</f>
        <v>18879</v>
      </c>
      <c r="H30" s="36" t="str">
        <f>IF(G30&gt;F30,"⚠️ Over Budget","✅ On Budget")</f>
        <v>✅ On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48100</v>
      </c>
      <c r="G31" s="37">
        <f>G29+G30</f>
        <v>47893</v>
      </c>
      <c r="H31" s="38" t="str">
        <f>IF(G31&gt;F31,"⚠️ Over Budget","✅ On Budget")</f>
        <v>✅ On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16507</v>
      </c>
      <c r="H32" s="36" t="str">
        <f>IF(G32&gt;=F32,"✅ Goal Met","⚠️ Below Goal")</f>
        <v>✅ Goal Met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9600</v>
      </c>
      <c r="G33" s="39">
        <f>G28-G31-G32</f>
        <v>9800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0.22237196765498651</v>
      </c>
      <c r="G34" s="40">
        <f>IF(G28=0,0,G32/G28)</f>
        <v>0.22246630727762803</v>
      </c>
      <c r="H34" s="41" t="str">
        <f>IF(G34&gt;=0.2,"🌟 Excellent","👍 Keep Going")</f>
        <v>🌟 Excellent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9800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84" priority="3">
      <formula>D12&gt;=C12</formula>
    </cfRule>
    <cfRule type="expression" dxfId="83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{B51E5E24-67A5-4471-B117-BAA6A02900B7}</x14:id>
        </ext>
      </extLst>
    </cfRule>
  </conditionalFormatting>
  <conditionalFormatting sqref="F33:G33">
    <cfRule type="expression" dxfId="82" priority="15">
      <formula>G33&lt;0</formula>
    </cfRule>
    <cfRule type="expression" dxfId="81" priority="16">
      <formula>G33&gt;=0</formula>
    </cfRule>
  </conditionalFormatting>
  <conditionalFormatting sqref="G36">
    <cfRule type="expression" dxfId="80" priority="17">
      <formula>G33&lt;0</formula>
    </cfRule>
  </conditionalFormatting>
  <conditionalFormatting sqref="H28:H34">
    <cfRule type="expression" dxfId="79" priority="12">
      <formula>ISNUMBER(SEARCH("⚠",H28))</formula>
    </cfRule>
    <cfRule type="expression" dxfId="78" priority="13">
      <formula>ISNUMBER(SEARCH("✅",H28))</formula>
    </cfRule>
    <cfRule type="expression" dxfId="77" priority="14">
      <formula>ISNUMBER(SEARCH("🌟",H28))</formula>
    </cfRule>
  </conditionalFormatting>
  <conditionalFormatting sqref="I12:I21">
    <cfRule type="expression" dxfId="76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{F289A430-4399-44D5-A58D-3194A9A7D0C5}</x14:id>
        </ext>
      </extLst>
    </cfRule>
  </conditionalFormatting>
  <conditionalFormatting sqref="N12:N23">
    <cfRule type="expression" dxfId="75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{881C3AD8-78C1-4879-B152-583E2EFFE79C}</x14:id>
        </ext>
      </extLst>
    </cfRule>
  </conditionalFormatting>
  <conditionalFormatting sqref="S12:S19">
    <cfRule type="expression" dxfId="74" priority="10">
      <formula>S12&gt;=R12</formula>
    </cfRule>
    <cfRule type="expression" dxfId="73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{89A8EC1C-A5A9-4CA6-9FB2-BAB29CB74EF9}</x14:id>
        </ext>
      </extLst>
    </cfRule>
  </conditionalFormatting>
  <hyperlinks>
    <hyperlink ref="B1" r:id="rId1" location="'Dashboard'!A1" xr:uid="{00000000-0004-0000-0600-000000000000}"/>
    <hyperlink ref="N1" r:id="rId2" location="'May'!A1" xr:uid="{00000000-0004-0000-0600-000001000000}"/>
    <hyperlink ref="R1" r:id="rId3" location="'Jul'!A1" xr:uid="{00000000-0004-0000-06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1E5E24-67A5-4471-B117-BAA6A02900B7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F289A430-4399-44D5-A58D-3194A9A7D0C5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881C3AD8-78C1-4879-B152-583E2EFFE79C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89A8EC1C-A5A9-4CA6-9FB2-BAB29CB74EF9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119</v>
      </c>
      <c r="O1" s="119"/>
      <c r="P1" s="119"/>
      <c r="Q1" s="119"/>
      <c r="R1" s="119" t="s">
        <v>120</v>
      </c>
      <c r="S1" s="119"/>
      <c r="T1" s="119"/>
      <c r="U1" s="119"/>
    </row>
    <row r="2" spans="1:21" ht="30" customHeight="1" x14ac:dyDescent="0.3">
      <c r="B2" s="120" t="s">
        <v>121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86200</v>
      </c>
      <c r="C7" s="104"/>
      <c r="D7" s="104"/>
      <c r="E7" s="104"/>
      <c r="F7" s="104"/>
      <c r="G7" s="105">
        <f>G31</f>
        <v>47550</v>
      </c>
      <c r="H7" s="105"/>
      <c r="I7" s="105"/>
      <c r="J7" s="105"/>
      <c r="K7" s="105"/>
      <c r="L7" s="106">
        <f>G32</f>
        <v>18150</v>
      </c>
      <c r="M7" s="106"/>
      <c r="N7" s="106"/>
      <c r="O7" s="106"/>
      <c r="P7" s="106"/>
      <c r="Q7" s="107">
        <f>G33</f>
        <v>20500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69000</v>
      </c>
      <c r="D12" s="16">
        <v>69000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15225</v>
      </c>
      <c r="J12" s="17">
        <f t="shared" ref="J12:J22" si="1">IF(H12=0,IF(I12=0,0,1),I12/H12)</f>
        <v>1.0149999999999999</v>
      </c>
      <c r="L12" s="15" t="s">
        <v>54</v>
      </c>
      <c r="M12" s="16">
        <v>6000</v>
      </c>
      <c r="N12" s="16">
        <v>5940</v>
      </c>
      <c r="O12" s="17">
        <f t="shared" ref="O12:O24" si="2">IF(M12=0,IF(N12=0,0,1),N12/M12)</f>
        <v>0.99</v>
      </c>
      <c r="Q12" s="15" t="s">
        <v>55</v>
      </c>
      <c r="R12" s="16">
        <v>3000</v>
      </c>
      <c r="S12" s="16">
        <v>3300</v>
      </c>
      <c r="T12" s="17">
        <f t="shared" ref="T12:T20" si="3">IF(R12=0,IF(S12=0,0,1),S12/R12)</f>
        <v>1.1000000000000001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2640</v>
      </c>
      <c r="I13" s="19">
        <v>2627</v>
      </c>
      <c r="J13" s="20">
        <f t="shared" si="1"/>
        <v>0.99507575757575761</v>
      </c>
      <c r="L13" s="18" t="s">
        <v>58</v>
      </c>
      <c r="M13" s="19">
        <v>2500</v>
      </c>
      <c r="N13" s="19">
        <v>2375</v>
      </c>
      <c r="O13" s="20">
        <f t="shared" si="2"/>
        <v>0.95</v>
      </c>
      <c r="Q13" s="18" t="s">
        <v>59</v>
      </c>
      <c r="R13" s="19">
        <v>5000</v>
      </c>
      <c r="S13" s="19">
        <v>5500</v>
      </c>
      <c r="T13" s="20">
        <f t="shared" si="3"/>
        <v>1.1000000000000001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292</v>
      </c>
      <c r="J14" s="17">
        <f t="shared" si="1"/>
        <v>0.97333333333333338</v>
      </c>
      <c r="L14" s="15" t="s">
        <v>62</v>
      </c>
      <c r="M14" s="16">
        <v>2000</v>
      </c>
      <c r="N14" s="16">
        <v>2040</v>
      </c>
      <c r="O14" s="17">
        <f t="shared" si="2"/>
        <v>1.02</v>
      </c>
      <c r="Q14" s="15" t="s">
        <v>63</v>
      </c>
      <c r="R14" s="16">
        <v>2000</v>
      </c>
      <c r="S14" s="16">
        <v>2200</v>
      </c>
      <c r="T14" s="17">
        <f t="shared" si="3"/>
        <v>1.1000000000000001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808</v>
      </c>
      <c r="J15" s="20">
        <f t="shared" si="1"/>
        <v>1.01</v>
      </c>
      <c r="L15" s="18" t="s">
        <v>66</v>
      </c>
      <c r="M15" s="19">
        <v>3000</v>
      </c>
      <c r="N15" s="19">
        <v>2940</v>
      </c>
      <c r="O15" s="20">
        <f t="shared" si="2"/>
        <v>0.98</v>
      </c>
      <c r="Q15" s="18" t="s">
        <v>67</v>
      </c>
      <c r="R15" s="19">
        <v>1000</v>
      </c>
      <c r="S15" s="19">
        <v>1100</v>
      </c>
      <c r="T15" s="20">
        <f t="shared" si="3"/>
        <v>1.1000000000000001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396</v>
      </c>
      <c r="J16" s="17">
        <f t="shared" si="1"/>
        <v>0.99</v>
      </c>
      <c r="L16" s="15" t="s">
        <v>70</v>
      </c>
      <c r="M16" s="16">
        <v>1000</v>
      </c>
      <c r="N16" s="16">
        <v>1050</v>
      </c>
      <c r="O16" s="17">
        <f t="shared" si="2"/>
        <v>1.05</v>
      </c>
      <c r="Q16" s="15" t="s">
        <v>71</v>
      </c>
      <c r="R16" s="16">
        <v>2000</v>
      </c>
      <c r="S16" s="16">
        <v>2200</v>
      </c>
      <c r="T16" s="17">
        <f t="shared" si="3"/>
        <v>1.1000000000000001</v>
      </c>
    </row>
    <row r="17" spans="2:21" x14ac:dyDescent="0.3">
      <c r="B17" s="18" t="s">
        <v>72</v>
      </c>
      <c r="C17" s="19">
        <v>10000</v>
      </c>
      <c r="D17" s="19">
        <v>10000</v>
      </c>
      <c r="E17" s="20">
        <f t="shared" si="0"/>
        <v>1</v>
      </c>
      <c r="G17" s="18" t="s">
        <v>73</v>
      </c>
      <c r="H17" s="19">
        <v>1200</v>
      </c>
      <c r="I17" s="19">
        <v>1230</v>
      </c>
      <c r="J17" s="20">
        <f t="shared" si="1"/>
        <v>1.0249999999999999</v>
      </c>
      <c r="L17" s="18" t="s">
        <v>74</v>
      </c>
      <c r="M17" s="19">
        <v>800</v>
      </c>
      <c r="N17" s="19">
        <v>808</v>
      </c>
      <c r="O17" s="20">
        <f t="shared" si="2"/>
        <v>1.01</v>
      </c>
      <c r="Q17" s="18" t="s">
        <v>75</v>
      </c>
      <c r="R17" s="19">
        <v>1500</v>
      </c>
      <c r="S17" s="19">
        <v>1650</v>
      </c>
      <c r="T17" s="20">
        <f t="shared" si="3"/>
        <v>1.1000000000000001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6030</v>
      </c>
      <c r="J18" s="17">
        <f t="shared" si="1"/>
        <v>1.0049999999999999</v>
      </c>
      <c r="L18" s="15" t="s">
        <v>78</v>
      </c>
      <c r="M18" s="16">
        <v>1000</v>
      </c>
      <c r="N18" s="16">
        <v>970</v>
      </c>
      <c r="O18" s="17">
        <f t="shared" si="2"/>
        <v>0.97</v>
      </c>
      <c r="Q18" s="15" t="s">
        <v>79</v>
      </c>
      <c r="R18" s="16">
        <v>2000</v>
      </c>
      <c r="S18" s="16">
        <v>2200</v>
      </c>
      <c r="T18" s="17">
        <f t="shared" si="3"/>
        <v>1.1000000000000001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492</v>
      </c>
      <c r="J19" s="20">
        <f t="shared" si="1"/>
        <v>0.98399999999999999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86200</v>
      </c>
      <c r="D20" s="22">
        <f>SUM(D12:D19)</f>
        <v>86200</v>
      </c>
      <c r="E20" s="23">
        <f t="shared" si="0"/>
        <v>1</v>
      </c>
      <c r="G20" s="15" t="s">
        <v>85</v>
      </c>
      <c r="H20" s="16">
        <v>1500</v>
      </c>
      <c r="I20" s="16">
        <v>1530</v>
      </c>
      <c r="J20" s="17">
        <f t="shared" si="1"/>
        <v>1.02</v>
      </c>
      <c r="L20" s="15" t="s">
        <v>86</v>
      </c>
      <c r="M20" s="16">
        <v>1500</v>
      </c>
      <c r="N20" s="16">
        <v>1500</v>
      </c>
      <c r="O20" s="17">
        <f t="shared" si="2"/>
        <v>1</v>
      </c>
      <c r="Q20" s="24" t="s">
        <v>84</v>
      </c>
      <c r="R20" s="25">
        <f>SUM(R12:R19)</f>
        <v>16500</v>
      </c>
      <c r="S20" s="25">
        <f>SUM(S12:S19)</f>
        <v>18150</v>
      </c>
      <c r="T20" s="26">
        <f t="shared" si="3"/>
        <v>1.1000000000000001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600</v>
      </c>
      <c r="N21" s="19">
        <v>576</v>
      </c>
      <c r="O21" s="20">
        <f t="shared" si="2"/>
        <v>0.96</v>
      </c>
    </row>
    <row r="22" spans="2:21" x14ac:dyDescent="0.3">
      <c r="G22" s="27" t="s">
        <v>84</v>
      </c>
      <c r="H22" s="28">
        <f>SUM(H12:H21)</f>
        <v>28340</v>
      </c>
      <c r="I22" s="28">
        <f>SUM(I12:I21)</f>
        <v>28630</v>
      </c>
      <c r="J22" s="29">
        <f t="shared" si="1"/>
        <v>1.0102328863796755</v>
      </c>
      <c r="L22" s="15" t="s">
        <v>89</v>
      </c>
      <c r="M22" s="16">
        <v>700</v>
      </c>
      <c r="N22" s="16">
        <v>721</v>
      </c>
      <c r="O22" s="17">
        <f t="shared" si="2"/>
        <v>1.03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19100</v>
      </c>
      <c r="N24" s="31">
        <f>SUM(N12:N23)</f>
        <v>18920</v>
      </c>
      <c r="O24" s="32">
        <f t="shared" si="2"/>
        <v>0.99057591623036645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86200</v>
      </c>
      <c r="G28" s="35">
        <f>D20</f>
        <v>86200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28340</v>
      </c>
      <c r="G29" s="37">
        <f>I22</f>
        <v>28630</v>
      </c>
      <c r="H29" s="38" t="str">
        <f>IF(G29&gt;F29,"⚠️ Over Budget","✅ On Budget")</f>
        <v>⚠️ Over Budget</v>
      </c>
    </row>
    <row r="30" spans="2:21" x14ac:dyDescent="0.3">
      <c r="B30" s="98" t="s">
        <v>96</v>
      </c>
      <c r="C30" s="98"/>
      <c r="D30" s="98"/>
      <c r="E30" s="98"/>
      <c r="F30" s="35">
        <f>M24</f>
        <v>19100</v>
      </c>
      <c r="G30" s="35">
        <f>N24</f>
        <v>18920</v>
      </c>
      <c r="H30" s="36" t="str">
        <f>IF(G30&gt;F30,"⚠️ Over Budget","✅ On Budget")</f>
        <v>✅ On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47440</v>
      </c>
      <c r="G31" s="37">
        <f>G29+G30</f>
        <v>47550</v>
      </c>
      <c r="H31" s="38" t="str">
        <f>IF(G31&gt;F31,"⚠️ Over Budget","✅ On Budget")</f>
        <v>⚠️ Over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18150</v>
      </c>
      <c r="H32" s="36" t="str">
        <f>IF(G32&gt;=F32,"✅ Goal Met","⚠️ Below Goal")</f>
        <v>✅ Goal Met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22260</v>
      </c>
      <c r="G33" s="39">
        <f>G28-G31-G32</f>
        <v>20500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0.191415313225058</v>
      </c>
      <c r="G34" s="40">
        <f>IF(G28=0,0,G32/G28)</f>
        <v>0.21055684454756379</v>
      </c>
      <c r="H34" s="41" t="str">
        <f>IF(G34&gt;=0.2,"🌟 Excellent","👍 Keep Going")</f>
        <v>🌟 Excellent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20500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72" priority="3">
      <formula>D12&gt;=C12</formula>
    </cfRule>
    <cfRule type="expression" dxfId="71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{7D352A39-F792-49A5-8E44-52761B27201D}</x14:id>
        </ext>
      </extLst>
    </cfRule>
  </conditionalFormatting>
  <conditionalFormatting sqref="F33:G33">
    <cfRule type="expression" dxfId="70" priority="15">
      <formula>G33&lt;0</formula>
    </cfRule>
    <cfRule type="expression" dxfId="69" priority="16">
      <formula>G33&gt;=0</formula>
    </cfRule>
  </conditionalFormatting>
  <conditionalFormatting sqref="G36">
    <cfRule type="expression" dxfId="68" priority="17">
      <formula>G33&lt;0</formula>
    </cfRule>
  </conditionalFormatting>
  <conditionalFormatting sqref="H28:H34">
    <cfRule type="expression" dxfId="67" priority="12">
      <formula>ISNUMBER(SEARCH("⚠",H28))</formula>
    </cfRule>
    <cfRule type="expression" dxfId="66" priority="13">
      <formula>ISNUMBER(SEARCH("✅",H28))</formula>
    </cfRule>
    <cfRule type="expression" dxfId="65" priority="14">
      <formula>ISNUMBER(SEARCH("🌟",H28))</formula>
    </cfRule>
  </conditionalFormatting>
  <conditionalFormatting sqref="I12:I21">
    <cfRule type="expression" dxfId="64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{F171CC1B-15CD-4893-94F2-FC3D1A8C5E47}</x14:id>
        </ext>
      </extLst>
    </cfRule>
  </conditionalFormatting>
  <conditionalFormatting sqref="N12:N23">
    <cfRule type="expression" dxfId="63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{5BDC7AE7-3D62-4EC6-90B8-8075674E2CF4}</x14:id>
        </ext>
      </extLst>
    </cfRule>
  </conditionalFormatting>
  <conditionalFormatting sqref="S12:S19">
    <cfRule type="expression" dxfId="62" priority="10">
      <formula>S12&gt;=R12</formula>
    </cfRule>
    <cfRule type="expression" dxfId="61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{C43F4C2F-69E1-415C-9DC1-13E758D02823}</x14:id>
        </ext>
      </extLst>
    </cfRule>
  </conditionalFormatting>
  <hyperlinks>
    <hyperlink ref="B1" r:id="rId1" location="'Dashboard'!A1" xr:uid="{00000000-0004-0000-0700-000000000000}"/>
    <hyperlink ref="N1" r:id="rId2" location="'Jun'!A1" xr:uid="{00000000-0004-0000-0700-000001000000}"/>
    <hyperlink ref="R1" r:id="rId3" location="'Aug'!A1" xr:uid="{00000000-0004-0000-07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352A39-F792-49A5-8E44-52761B27201D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F171CC1B-15CD-4893-94F2-FC3D1A8C5E47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5BDC7AE7-3D62-4EC6-90B8-8075674E2CF4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C43F4C2F-69E1-415C-9DC1-13E758D02823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122</v>
      </c>
      <c r="O1" s="119"/>
      <c r="P1" s="119"/>
      <c r="Q1" s="119"/>
      <c r="R1" s="119" t="s">
        <v>123</v>
      </c>
      <c r="S1" s="119"/>
      <c r="T1" s="119"/>
      <c r="U1" s="119"/>
    </row>
    <row r="2" spans="1:21" ht="30" customHeight="1" x14ac:dyDescent="0.3">
      <c r="B2" s="120" t="s">
        <v>124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76200</v>
      </c>
      <c r="C7" s="104"/>
      <c r="D7" s="104"/>
      <c r="E7" s="104"/>
      <c r="F7" s="104"/>
      <c r="G7" s="105">
        <f>G31</f>
        <v>47737</v>
      </c>
      <c r="H7" s="105"/>
      <c r="I7" s="105"/>
      <c r="J7" s="105"/>
      <c r="K7" s="105"/>
      <c r="L7" s="106">
        <f>G32</f>
        <v>16507</v>
      </c>
      <c r="M7" s="106"/>
      <c r="N7" s="106"/>
      <c r="O7" s="106"/>
      <c r="P7" s="106"/>
      <c r="Q7" s="107">
        <f>G33</f>
        <v>11956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69000</v>
      </c>
      <c r="D12" s="16">
        <v>69000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15375</v>
      </c>
      <c r="J12" s="17">
        <f t="shared" ref="J12:J22" si="1">IF(H12=0,IF(I12=0,0,1),I12/H12)</f>
        <v>1.0249999999999999</v>
      </c>
      <c r="L12" s="15" t="s">
        <v>54</v>
      </c>
      <c r="M12" s="16">
        <v>6000</v>
      </c>
      <c r="N12" s="16">
        <v>6060</v>
      </c>
      <c r="O12" s="17">
        <f t="shared" ref="O12:O24" si="2">IF(M12=0,IF(N12=0,0,1),N12/M12)</f>
        <v>1.01</v>
      </c>
      <c r="Q12" s="15" t="s">
        <v>55</v>
      </c>
      <c r="R12" s="16">
        <v>3000</v>
      </c>
      <c r="S12" s="16">
        <v>2955</v>
      </c>
      <c r="T12" s="17">
        <f t="shared" ref="T12:T20" si="3">IF(R12=0,IF(S12=0,0,1),S12/R12)</f>
        <v>0.98499999999999999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2420</v>
      </c>
      <c r="I13" s="19">
        <v>2432</v>
      </c>
      <c r="J13" s="20">
        <f t="shared" si="1"/>
        <v>1.0049586776859505</v>
      </c>
      <c r="L13" s="18" t="s">
        <v>58</v>
      </c>
      <c r="M13" s="19">
        <v>2500</v>
      </c>
      <c r="N13" s="19">
        <v>2425</v>
      </c>
      <c r="O13" s="20">
        <f t="shared" si="2"/>
        <v>0.97</v>
      </c>
      <c r="Q13" s="18" t="s">
        <v>59</v>
      </c>
      <c r="R13" s="19">
        <v>5000</v>
      </c>
      <c r="S13" s="19">
        <v>5100</v>
      </c>
      <c r="T13" s="20">
        <f t="shared" si="3"/>
        <v>1.02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296</v>
      </c>
      <c r="J14" s="17">
        <f t="shared" si="1"/>
        <v>0.98666666666666669</v>
      </c>
      <c r="L14" s="15" t="s">
        <v>62</v>
      </c>
      <c r="M14" s="16">
        <v>2000</v>
      </c>
      <c r="N14" s="16">
        <v>2080</v>
      </c>
      <c r="O14" s="17">
        <f t="shared" si="2"/>
        <v>1.04</v>
      </c>
      <c r="Q14" s="15" t="s">
        <v>63</v>
      </c>
      <c r="R14" s="16">
        <v>2000</v>
      </c>
      <c r="S14" s="16">
        <v>2000</v>
      </c>
      <c r="T14" s="17">
        <f t="shared" si="3"/>
        <v>1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816</v>
      </c>
      <c r="J15" s="20">
        <f t="shared" si="1"/>
        <v>1.02</v>
      </c>
      <c r="L15" s="18" t="s">
        <v>66</v>
      </c>
      <c r="M15" s="19">
        <v>3000</v>
      </c>
      <c r="N15" s="19">
        <v>3000</v>
      </c>
      <c r="O15" s="20">
        <f t="shared" si="2"/>
        <v>1</v>
      </c>
      <c r="Q15" s="18" t="s">
        <v>67</v>
      </c>
      <c r="R15" s="19">
        <v>1000</v>
      </c>
      <c r="S15" s="19">
        <v>980</v>
      </c>
      <c r="T15" s="20">
        <f t="shared" si="3"/>
        <v>0.98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400</v>
      </c>
      <c r="J16" s="17">
        <f t="shared" si="1"/>
        <v>1</v>
      </c>
      <c r="L16" s="15" t="s">
        <v>70</v>
      </c>
      <c r="M16" s="16">
        <v>1000</v>
      </c>
      <c r="N16" s="16">
        <v>960</v>
      </c>
      <c r="O16" s="17">
        <f t="shared" si="2"/>
        <v>0.96</v>
      </c>
      <c r="Q16" s="15" t="s">
        <v>71</v>
      </c>
      <c r="R16" s="16">
        <v>2000</v>
      </c>
      <c r="S16" s="16">
        <v>2030</v>
      </c>
      <c r="T16" s="17">
        <f t="shared" si="3"/>
        <v>1.0149999999999999</v>
      </c>
    </row>
    <row r="17" spans="2:21" x14ac:dyDescent="0.3">
      <c r="B17" s="18" t="s">
        <v>72</v>
      </c>
      <c r="C17" s="19">
        <v>0</v>
      </c>
      <c r="D17" s="19">
        <v>0</v>
      </c>
      <c r="E17" s="20">
        <f t="shared" si="0"/>
        <v>0</v>
      </c>
      <c r="G17" s="18" t="s">
        <v>73</v>
      </c>
      <c r="H17" s="19">
        <v>1200</v>
      </c>
      <c r="I17" s="19">
        <v>1176</v>
      </c>
      <c r="J17" s="20">
        <f t="shared" si="1"/>
        <v>0.98</v>
      </c>
      <c r="L17" s="18" t="s">
        <v>74</v>
      </c>
      <c r="M17" s="19">
        <v>800</v>
      </c>
      <c r="N17" s="19">
        <v>824</v>
      </c>
      <c r="O17" s="20">
        <f t="shared" si="2"/>
        <v>1.03</v>
      </c>
      <c r="Q17" s="18" t="s">
        <v>75</v>
      </c>
      <c r="R17" s="19">
        <v>1500</v>
      </c>
      <c r="S17" s="19">
        <v>1492</v>
      </c>
      <c r="T17" s="20">
        <f t="shared" si="3"/>
        <v>0.9946666666666667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6090</v>
      </c>
      <c r="J18" s="17">
        <f t="shared" si="1"/>
        <v>1.0149999999999999</v>
      </c>
      <c r="L18" s="15" t="s">
        <v>78</v>
      </c>
      <c r="M18" s="16">
        <v>1000</v>
      </c>
      <c r="N18" s="16">
        <v>990</v>
      </c>
      <c r="O18" s="17">
        <f t="shared" si="2"/>
        <v>0.99</v>
      </c>
      <c r="Q18" s="15" t="s">
        <v>79</v>
      </c>
      <c r="R18" s="16">
        <v>2000</v>
      </c>
      <c r="S18" s="16">
        <v>1950</v>
      </c>
      <c r="T18" s="17">
        <f t="shared" si="3"/>
        <v>0.97499999999999998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498</v>
      </c>
      <c r="J19" s="20">
        <f t="shared" si="1"/>
        <v>0.996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76200</v>
      </c>
      <c r="D20" s="22">
        <f>SUM(D12:D19)</f>
        <v>76200</v>
      </c>
      <c r="E20" s="23">
        <f t="shared" si="0"/>
        <v>1</v>
      </c>
      <c r="G20" s="15" t="s">
        <v>85</v>
      </c>
      <c r="H20" s="16">
        <v>1500</v>
      </c>
      <c r="I20" s="16">
        <v>1462</v>
      </c>
      <c r="J20" s="17">
        <f t="shared" si="1"/>
        <v>0.97466666666666668</v>
      </c>
      <c r="L20" s="15" t="s">
        <v>86</v>
      </c>
      <c r="M20" s="16">
        <v>1500</v>
      </c>
      <c r="N20" s="16">
        <v>1530</v>
      </c>
      <c r="O20" s="17">
        <f t="shared" si="2"/>
        <v>1.02</v>
      </c>
      <c r="Q20" s="24" t="s">
        <v>84</v>
      </c>
      <c r="R20" s="25">
        <f>SUM(R12:R19)</f>
        <v>16500</v>
      </c>
      <c r="S20" s="25">
        <f>SUM(S12:S19)</f>
        <v>16507</v>
      </c>
      <c r="T20" s="26">
        <f t="shared" si="3"/>
        <v>1.0004242424242424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600</v>
      </c>
      <c r="N21" s="19">
        <v>588</v>
      </c>
      <c r="O21" s="20">
        <f t="shared" si="2"/>
        <v>0.98</v>
      </c>
    </row>
    <row r="22" spans="2:21" x14ac:dyDescent="0.3">
      <c r="G22" s="27" t="s">
        <v>84</v>
      </c>
      <c r="H22" s="28">
        <f>SUM(H12:H21)</f>
        <v>28120</v>
      </c>
      <c r="I22" s="28">
        <f>SUM(I12:I21)</f>
        <v>28545</v>
      </c>
      <c r="J22" s="29">
        <f t="shared" si="1"/>
        <v>1.0151137980085347</v>
      </c>
      <c r="L22" s="15" t="s">
        <v>89</v>
      </c>
      <c r="M22" s="16">
        <v>700</v>
      </c>
      <c r="N22" s="16">
        <v>735</v>
      </c>
      <c r="O22" s="17">
        <f t="shared" si="2"/>
        <v>1.05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19100</v>
      </c>
      <c r="N24" s="31">
        <f>SUM(N12:N23)</f>
        <v>19192</v>
      </c>
      <c r="O24" s="32">
        <f t="shared" si="2"/>
        <v>1.0048167539267017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76200</v>
      </c>
      <c r="G28" s="35">
        <f>D20</f>
        <v>76200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28120</v>
      </c>
      <c r="G29" s="37">
        <f>I22</f>
        <v>28545</v>
      </c>
      <c r="H29" s="38" t="str">
        <f>IF(G29&gt;F29,"⚠️ Over Budget","✅ On Budget")</f>
        <v>⚠️ Over Budget</v>
      </c>
    </row>
    <row r="30" spans="2:21" x14ac:dyDescent="0.3">
      <c r="B30" s="98" t="s">
        <v>96</v>
      </c>
      <c r="C30" s="98"/>
      <c r="D30" s="98"/>
      <c r="E30" s="98"/>
      <c r="F30" s="35">
        <f>M24</f>
        <v>19100</v>
      </c>
      <c r="G30" s="35">
        <f>N24</f>
        <v>19192</v>
      </c>
      <c r="H30" s="36" t="str">
        <f>IF(G30&gt;F30,"⚠️ Over Budget","✅ On Budget")</f>
        <v>⚠️ Over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47220</v>
      </c>
      <c r="G31" s="37">
        <f>G29+G30</f>
        <v>47737</v>
      </c>
      <c r="H31" s="38" t="str">
        <f>IF(G31&gt;F31,"⚠️ Over Budget","✅ On Budget")</f>
        <v>⚠️ Over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16507</v>
      </c>
      <c r="H32" s="36" t="str">
        <f>IF(G32&gt;=F32,"✅ Goal Met","⚠️ Below Goal")</f>
        <v>✅ Goal Met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12480</v>
      </c>
      <c r="G33" s="39">
        <f>G28-G31-G32</f>
        <v>11956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0.21653543307086615</v>
      </c>
      <c r="G34" s="40">
        <f>IF(G28=0,0,G32/G28)</f>
        <v>0.21662729658792651</v>
      </c>
      <c r="H34" s="41" t="str">
        <f>IF(G34&gt;=0.2,"🌟 Excellent","👍 Keep Going")</f>
        <v>🌟 Excellent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11956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60" priority="3">
      <formula>D12&gt;=C12</formula>
    </cfRule>
    <cfRule type="expression" dxfId="59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{95344995-4A56-47B7-B561-238A8ABF92A0}</x14:id>
        </ext>
      </extLst>
    </cfRule>
  </conditionalFormatting>
  <conditionalFormatting sqref="F33:G33">
    <cfRule type="expression" dxfId="58" priority="15">
      <formula>G33&lt;0</formula>
    </cfRule>
    <cfRule type="expression" dxfId="57" priority="16">
      <formula>G33&gt;=0</formula>
    </cfRule>
  </conditionalFormatting>
  <conditionalFormatting sqref="G36">
    <cfRule type="expression" dxfId="56" priority="17">
      <formula>G33&lt;0</formula>
    </cfRule>
  </conditionalFormatting>
  <conditionalFormatting sqref="H28:H34">
    <cfRule type="expression" dxfId="55" priority="12">
      <formula>ISNUMBER(SEARCH("⚠",H28))</formula>
    </cfRule>
    <cfRule type="expression" dxfId="54" priority="13">
      <formula>ISNUMBER(SEARCH("✅",H28))</formula>
    </cfRule>
    <cfRule type="expression" dxfId="53" priority="14">
      <formula>ISNUMBER(SEARCH("🌟",H28))</formula>
    </cfRule>
  </conditionalFormatting>
  <conditionalFormatting sqref="I12:I21">
    <cfRule type="expression" dxfId="52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{FC826B00-BD2E-4E3F-80B2-407FAFE5FB44}</x14:id>
        </ext>
      </extLst>
    </cfRule>
  </conditionalFormatting>
  <conditionalFormatting sqref="N12:N23">
    <cfRule type="expression" dxfId="51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{A248BD3F-6F2B-49B0-A5FF-45F54CA98820}</x14:id>
        </ext>
      </extLst>
    </cfRule>
  </conditionalFormatting>
  <conditionalFormatting sqref="S12:S19">
    <cfRule type="expression" dxfId="50" priority="10">
      <formula>S12&gt;=R12</formula>
    </cfRule>
    <cfRule type="expression" dxfId="49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{3FC41713-9EB5-4AB3-8228-2C30B46E6EB6}</x14:id>
        </ext>
      </extLst>
    </cfRule>
  </conditionalFormatting>
  <hyperlinks>
    <hyperlink ref="B1" r:id="rId1" location="'Dashboard'!A1" xr:uid="{00000000-0004-0000-0800-000000000000}"/>
    <hyperlink ref="N1" r:id="rId2" location="'Jul'!A1" xr:uid="{00000000-0004-0000-0800-000001000000}"/>
    <hyperlink ref="R1" r:id="rId3" location="'Sep'!A1" xr:uid="{00000000-0004-0000-08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344995-4A56-47B7-B561-238A8ABF92A0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FC826B00-BD2E-4E3F-80B2-407FAFE5FB44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A248BD3F-6F2B-49B0-A5FF-45F54CA98820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3FC41713-9EB5-4AB3-8228-2C30B46E6EB6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125</v>
      </c>
      <c r="O1" s="119"/>
      <c r="P1" s="119"/>
      <c r="Q1" s="119"/>
      <c r="R1" s="119" t="s">
        <v>126</v>
      </c>
      <c r="S1" s="119"/>
      <c r="T1" s="119"/>
      <c r="U1" s="119"/>
    </row>
    <row r="2" spans="1:21" ht="30" customHeight="1" x14ac:dyDescent="0.3">
      <c r="B2" s="120" t="s">
        <v>127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76200</v>
      </c>
      <c r="C7" s="104"/>
      <c r="D7" s="104"/>
      <c r="E7" s="104"/>
      <c r="F7" s="104"/>
      <c r="G7" s="105">
        <f>G31</f>
        <v>47010</v>
      </c>
      <c r="H7" s="105"/>
      <c r="I7" s="105"/>
      <c r="J7" s="105"/>
      <c r="K7" s="105"/>
      <c r="L7" s="106">
        <f>G32</f>
        <v>16397</v>
      </c>
      <c r="M7" s="106"/>
      <c r="N7" s="106"/>
      <c r="O7" s="106"/>
      <c r="P7" s="106"/>
      <c r="Q7" s="107">
        <f>G33</f>
        <v>12793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69000</v>
      </c>
      <c r="D12" s="16">
        <v>69000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14700</v>
      </c>
      <c r="J12" s="17">
        <f t="shared" ref="J12:J22" si="1">IF(H12=0,IF(I12=0,0,1),I12/H12)</f>
        <v>0.98</v>
      </c>
      <c r="L12" s="15" t="s">
        <v>54</v>
      </c>
      <c r="M12" s="16">
        <v>6000</v>
      </c>
      <c r="N12" s="16">
        <v>6180</v>
      </c>
      <c r="O12" s="17">
        <f t="shared" ref="O12:O24" si="2">IF(M12=0,IF(N12=0,0,1),N12/M12)</f>
        <v>1.03</v>
      </c>
      <c r="Q12" s="15" t="s">
        <v>55</v>
      </c>
      <c r="R12" s="16">
        <v>3000</v>
      </c>
      <c r="S12" s="16">
        <v>2985</v>
      </c>
      <c r="T12" s="17">
        <f t="shared" ref="T12:T20" si="3">IF(R12=0,IF(S12=0,0,1),S12/R12)</f>
        <v>0.995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2200</v>
      </c>
      <c r="I13" s="19">
        <v>2233</v>
      </c>
      <c r="J13" s="20">
        <f t="shared" si="1"/>
        <v>1.0149999999999999</v>
      </c>
      <c r="L13" s="18" t="s">
        <v>58</v>
      </c>
      <c r="M13" s="19">
        <v>2500</v>
      </c>
      <c r="N13" s="19">
        <v>2475</v>
      </c>
      <c r="O13" s="20">
        <f t="shared" si="2"/>
        <v>0.99</v>
      </c>
      <c r="Q13" s="18" t="s">
        <v>59</v>
      </c>
      <c r="R13" s="19">
        <v>5000</v>
      </c>
      <c r="S13" s="19">
        <v>4875</v>
      </c>
      <c r="T13" s="20">
        <f t="shared" si="3"/>
        <v>0.97499999999999998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298</v>
      </c>
      <c r="J14" s="17">
        <f t="shared" si="1"/>
        <v>0.99333333333333329</v>
      </c>
      <c r="L14" s="15" t="s">
        <v>62</v>
      </c>
      <c r="M14" s="16">
        <v>2000</v>
      </c>
      <c r="N14" s="16">
        <v>1900</v>
      </c>
      <c r="O14" s="17">
        <f t="shared" si="2"/>
        <v>0.95</v>
      </c>
      <c r="Q14" s="15" t="s">
        <v>63</v>
      </c>
      <c r="R14" s="16">
        <v>2000</v>
      </c>
      <c r="S14" s="16">
        <v>2020</v>
      </c>
      <c r="T14" s="17">
        <f t="shared" si="3"/>
        <v>1.01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780</v>
      </c>
      <c r="J15" s="20">
        <f t="shared" si="1"/>
        <v>0.97499999999999998</v>
      </c>
      <c r="L15" s="18" t="s">
        <v>66</v>
      </c>
      <c r="M15" s="19">
        <v>3000</v>
      </c>
      <c r="N15" s="19">
        <v>3060</v>
      </c>
      <c r="O15" s="20">
        <f t="shared" si="2"/>
        <v>1.02</v>
      </c>
      <c r="Q15" s="18" t="s">
        <v>67</v>
      </c>
      <c r="R15" s="19">
        <v>1000</v>
      </c>
      <c r="S15" s="19">
        <v>990</v>
      </c>
      <c r="T15" s="20">
        <f t="shared" si="3"/>
        <v>0.99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404</v>
      </c>
      <c r="J16" s="17">
        <f t="shared" si="1"/>
        <v>1.01</v>
      </c>
      <c r="L16" s="15" t="s">
        <v>70</v>
      </c>
      <c r="M16" s="16">
        <v>1000</v>
      </c>
      <c r="N16" s="16">
        <v>980</v>
      </c>
      <c r="O16" s="17">
        <f t="shared" si="2"/>
        <v>0.98</v>
      </c>
      <c r="Q16" s="15" t="s">
        <v>71</v>
      </c>
      <c r="R16" s="16">
        <v>2000</v>
      </c>
      <c r="S16" s="16">
        <v>2050</v>
      </c>
      <c r="T16" s="17">
        <f t="shared" si="3"/>
        <v>1.0249999999999999</v>
      </c>
    </row>
    <row r="17" spans="2:21" x14ac:dyDescent="0.3">
      <c r="B17" s="18" t="s">
        <v>72</v>
      </c>
      <c r="C17" s="19">
        <v>0</v>
      </c>
      <c r="D17" s="19">
        <v>0</v>
      </c>
      <c r="E17" s="20">
        <f t="shared" si="0"/>
        <v>0</v>
      </c>
      <c r="G17" s="18" t="s">
        <v>73</v>
      </c>
      <c r="H17" s="19">
        <v>1200</v>
      </c>
      <c r="I17" s="19">
        <v>1188</v>
      </c>
      <c r="J17" s="20">
        <f t="shared" si="1"/>
        <v>0.99</v>
      </c>
      <c r="L17" s="18" t="s">
        <v>74</v>
      </c>
      <c r="M17" s="19">
        <v>800</v>
      </c>
      <c r="N17" s="19">
        <v>840</v>
      </c>
      <c r="O17" s="20">
        <f t="shared" si="2"/>
        <v>1.05</v>
      </c>
      <c r="Q17" s="18" t="s">
        <v>75</v>
      </c>
      <c r="R17" s="19">
        <v>1500</v>
      </c>
      <c r="S17" s="19">
        <v>1507</v>
      </c>
      <c r="T17" s="20">
        <f t="shared" si="3"/>
        <v>1.0046666666666666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6150</v>
      </c>
      <c r="J18" s="17">
        <f t="shared" si="1"/>
        <v>1.0249999999999999</v>
      </c>
      <c r="L18" s="15" t="s">
        <v>78</v>
      </c>
      <c r="M18" s="16">
        <v>1000</v>
      </c>
      <c r="N18" s="16">
        <v>1010</v>
      </c>
      <c r="O18" s="17">
        <f t="shared" si="2"/>
        <v>1.01</v>
      </c>
      <c r="Q18" s="15" t="s">
        <v>79</v>
      </c>
      <c r="R18" s="16">
        <v>2000</v>
      </c>
      <c r="S18" s="16">
        <v>1970</v>
      </c>
      <c r="T18" s="17">
        <f t="shared" si="3"/>
        <v>0.98499999999999999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502</v>
      </c>
      <c r="J19" s="20">
        <f t="shared" si="1"/>
        <v>1.004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76200</v>
      </c>
      <c r="D20" s="22">
        <f>SUM(D12:D19)</f>
        <v>76200</v>
      </c>
      <c r="E20" s="23">
        <f t="shared" si="0"/>
        <v>1</v>
      </c>
      <c r="G20" s="15" t="s">
        <v>85</v>
      </c>
      <c r="H20" s="16">
        <v>1500</v>
      </c>
      <c r="I20" s="16">
        <v>1478</v>
      </c>
      <c r="J20" s="17">
        <f t="shared" si="1"/>
        <v>0.98533333333333328</v>
      </c>
      <c r="L20" s="15" t="s">
        <v>86</v>
      </c>
      <c r="M20" s="16">
        <v>1500</v>
      </c>
      <c r="N20" s="16">
        <v>1560</v>
      </c>
      <c r="O20" s="17">
        <f t="shared" si="2"/>
        <v>1.04</v>
      </c>
      <c r="Q20" s="24" t="s">
        <v>84</v>
      </c>
      <c r="R20" s="25">
        <f>SUM(R12:R19)</f>
        <v>16500</v>
      </c>
      <c r="S20" s="25">
        <f>SUM(S12:S19)</f>
        <v>16397</v>
      </c>
      <c r="T20" s="26">
        <f t="shared" si="3"/>
        <v>0.99375757575757573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600</v>
      </c>
      <c r="N21" s="19">
        <v>600</v>
      </c>
      <c r="O21" s="20">
        <f t="shared" si="2"/>
        <v>1</v>
      </c>
    </row>
    <row r="22" spans="2:21" x14ac:dyDescent="0.3">
      <c r="G22" s="27" t="s">
        <v>84</v>
      </c>
      <c r="H22" s="28">
        <f>SUM(H12:H21)</f>
        <v>27900</v>
      </c>
      <c r="I22" s="28">
        <f>SUM(I12:I21)</f>
        <v>27733</v>
      </c>
      <c r="J22" s="29">
        <f t="shared" si="1"/>
        <v>0.99401433691756269</v>
      </c>
      <c r="L22" s="15" t="s">
        <v>89</v>
      </c>
      <c r="M22" s="16">
        <v>700</v>
      </c>
      <c r="N22" s="16">
        <v>672</v>
      </c>
      <c r="O22" s="17">
        <f t="shared" si="2"/>
        <v>0.96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19100</v>
      </c>
      <c r="N24" s="31">
        <f>SUM(N12:N23)</f>
        <v>19277</v>
      </c>
      <c r="O24" s="32">
        <f t="shared" si="2"/>
        <v>1.0092670157068062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76200</v>
      </c>
      <c r="G28" s="35">
        <f>D20</f>
        <v>76200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27900</v>
      </c>
      <c r="G29" s="37">
        <f>I22</f>
        <v>27733</v>
      </c>
      <c r="H29" s="38" t="str">
        <f>IF(G29&gt;F29,"⚠️ Over Budget","✅ On Budget")</f>
        <v>✅ On Budget</v>
      </c>
    </row>
    <row r="30" spans="2:21" x14ac:dyDescent="0.3">
      <c r="B30" s="98" t="s">
        <v>96</v>
      </c>
      <c r="C30" s="98"/>
      <c r="D30" s="98"/>
      <c r="E30" s="98"/>
      <c r="F30" s="35">
        <f>M24</f>
        <v>19100</v>
      </c>
      <c r="G30" s="35">
        <f>N24</f>
        <v>19277</v>
      </c>
      <c r="H30" s="36" t="str">
        <f>IF(G30&gt;F30,"⚠️ Over Budget","✅ On Budget")</f>
        <v>⚠️ Over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47000</v>
      </c>
      <c r="G31" s="37">
        <f>G29+G30</f>
        <v>47010</v>
      </c>
      <c r="H31" s="38" t="str">
        <f>IF(G31&gt;F31,"⚠️ Over Budget","✅ On Budget")</f>
        <v>⚠️ Over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16397</v>
      </c>
      <c r="H32" s="36" t="str">
        <f>IF(G32&gt;=F32,"✅ Goal Met","⚠️ Below Goal")</f>
        <v>⚠️ Below Goal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12700</v>
      </c>
      <c r="G33" s="39">
        <f>G28-G31-G32</f>
        <v>12793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0.21653543307086615</v>
      </c>
      <c r="G34" s="40">
        <f>IF(G28=0,0,G32/G28)</f>
        <v>0.21518372703412073</v>
      </c>
      <c r="H34" s="41" t="str">
        <f>IF(G34&gt;=0.2,"🌟 Excellent","👍 Keep Going")</f>
        <v>🌟 Excellent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12793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48" priority="3">
      <formula>D12&gt;=C12</formula>
    </cfRule>
    <cfRule type="expression" dxfId="47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{8EAEB0E0-ABFA-422C-A73D-F05B70E8AE1B}</x14:id>
        </ext>
      </extLst>
    </cfRule>
  </conditionalFormatting>
  <conditionalFormatting sqref="F33:G33">
    <cfRule type="expression" dxfId="46" priority="15">
      <formula>G33&lt;0</formula>
    </cfRule>
    <cfRule type="expression" dxfId="45" priority="16">
      <formula>G33&gt;=0</formula>
    </cfRule>
  </conditionalFormatting>
  <conditionalFormatting sqref="G36">
    <cfRule type="expression" dxfId="44" priority="17">
      <formula>G33&lt;0</formula>
    </cfRule>
  </conditionalFormatting>
  <conditionalFormatting sqref="H28:H34">
    <cfRule type="expression" dxfId="43" priority="12">
      <formula>ISNUMBER(SEARCH("⚠",H28))</formula>
    </cfRule>
    <cfRule type="expression" dxfId="42" priority="13">
      <formula>ISNUMBER(SEARCH("✅",H28))</formula>
    </cfRule>
    <cfRule type="expression" dxfId="41" priority="14">
      <formula>ISNUMBER(SEARCH("🌟",H28))</formula>
    </cfRule>
  </conditionalFormatting>
  <conditionalFormatting sqref="I12:I21">
    <cfRule type="expression" dxfId="40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{9954E087-6544-40FC-99EE-1099C6D87DF0}</x14:id>
        </ext>
      </extLst>
    </cfRule>
  </conditionalFormatting>
  <conditionalFormatting sqref="N12:N23">
    <cfRule type="expression" dxfId="39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{51F28CE5-B47C-44CC-B2B9-3065C6714351}</x14:id>
        </ext>
      </extLst>
    </cfRule>
  </conditionalFormatting>
  <conditionalFormatting sqref="S12:S19">
    <cfRule type="expression" dxfId="38" priority="10">
      <formula>S12&gt;=R12</formula>
    </cfRule>
    <cfRule type="expression" dxfId="37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{E6BA361D-FDFE-45D2-B052-20C0CC395DF1}</x14:id>
        </ext>
      </extLst>
    </cfRule>
  </conditionalFormatting>
  <hyperlinks>
    <hyperlink ref="B1" r:id="rId1" location="'Dashboard'!A1" xr:uid="{00000000-0004-0000-0900-000000000000}"/>
    <hyperlink ref="N1" r:id="rId2" location="'Aug'!A1" xr:uid="{00000000-0004-0000-0900-000001000000}"/>
    <hyperlink ref="R1" r:id="rId3" location="'Oct'!A1" xr:uid="{00000000-0004-0000-09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AEB0E0-ABFA-422C-A73D-F05B70E8AE1B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9954E087-6544-40FC-99EE-1099C6D87DF0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51F28CE5-B47C-44CC-B2B9-3065C6714351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E6BA361D-FDFE-45D2-B052-20C0CC395DF1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128</v>
      </c>
      <c r="O1" s="119"/>
      <c r="P1" s="119"/>
      <c r="Q1" s="119"/>
      <c r="R1" s="119" t="s">
        <v>129</v>
      </c>
      <c r="S1" s="119"/>
      <c r="T1" s="119"/>
      <c r="U1" s="119"/>
    </row>
    <row r="2" spans="1:21" ht="30" customHeight="1" x14ac:dyDescent="0.3">
      <c r="B2" s="120" t="s">
        <v>130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83200</v>
      </c>
      <c r="C7" s="104"/>
      <c r="D7" s="104"/>
      <c r="E7" s="104"/>
      <c r="F7" s="104"/>
      <c r="G7" s="105">
        <f>G31</f>
        <v>61539</v>
      </c>
      <c r="H7" s="105"/>
      <c r="I7" s="105"/>
      <c r="J7" s="105"/>
      <c r="K7" s="105"/>
      <c r="L7" s="106">
        <f>G32</f>
        <v>9075</v>
      </c>
      <c r="M7" s="106"/>
      <c r="N7" s="106"/>
      <c r="O7" s="106"/>
      <c r="P7" s="106"/>
      <c r="Q7" s="107">
        <f>G33</f>
        <v>12586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71000</v>
      </c>
      <c r="D12" s="16">
        <v>71000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14850</v>
      </c>
      <c r="J12" s="17">
        <f t="shared" ref="J12:J22" si="1">IF(H12=0,IF(I12=0,0,1),I12/H12)</f>
        <v>0.99</v>
      </c>
      <c r="L12" s="15" t="s">
        <v>54</v>
      </c>
      <c r="M12" s="16">
        <v>6000</v>
      </c>
      <c r="N12" s="16">
        <v>7380</v>
      </c>
      <c r="O12" s="17">
        <f t="shared" ref="O12:O24" si="2">IF(M12=0,IF(N12=0,0,1),N12/M12)</f>
        <v>1.23</v>
      </c>
      <c r="Q12" s="15" t="s">
        <v>55</v>
      </c>
      <c r="R12" s="16">
        <v>3000</v>
      </c>
      <c r="S12" s="16">
        <v>1650</v>
      </c>
      <c r="T12" s="17">
        <f t="shared" ref="T12:T20" si="3">IF(R12=0,IF(S12=0,0,1),S12/R12)</f>
        <v>0.55000000000000004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2200</v>
      </c>
      <c r="I13" s="19">
        <v>2255</v>
      </c>
      <c r="J13" s="20">
        <f t="shared" si="1"/>
        <v>1.0249999999999999</v>
      </c>
      <c r="L13" s="18" t="s">
        <v>58</v>
      </c>
      <c r="M13" s="19">
        <v>3250</v>
      </c>
      <c r="N13" s="19">
        <v>3868</v>
      </c>
      <c r="O13" s="20">
        <f t="shared" si="2"/>
        <v>1.1901538461538461</v>
      </c>
      <c r="Q13" s="18" t="s">
        <v>59</v>
      </c>
      <c r="R13" s="19">
        <v>5000</v>
      </c>
      <c r="S13" s="19">
        <v>2750</v>
      </c>
      <c r="T13" s="20">
        <f t="shared" si="3"/>
        <v>0.55000000000000004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301</v>
      </c>
      <c r="J14" s="17">
        <f t="shared" si="1"/>
        <v>1.0033333333333334</v>
      </c>
      <c r="L14" s="15" t="s">
        <v>62</v>
      </c>
      <c r="M14" s="16">
        <v>2000</v>
      </c>
      <c r="N14" s="16">
        <v>2300</v>
      </c>
      <c r="O14" s="17">
        <f t="shared" si="2"/>
        <v>1.1499999999999999</v>
      </c>
      <c r="Q14" s="15" t="s">
        <v>63</v>
      </c>
      <c r="R14" s="16">
        <v>2000</v>
      </c>
      <c r="S14" s="16">
        <v>1100</v>
      </c>
      <c r="T14" s="17">
        <f t="shared" si="3"/>
        <v>0.55000000000000004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788</v>
      </c>
      <c r="J15" s="20">
        <f t="shared" si="1"/>
        <v>0.98499999999999999</v>
      </c>
      <c r="L15" s="18" t="s">
        <v>66</v>
      </c>
      <c r="M15" s="19">
        <v>7800</v>
      </c>
      <c r="N15" s="19">
        <v>9516</v>
      </c>
      <c r="O15" s="20">
        <f t="shared" si="2"/>
        <v>1.22</v>
      </c>
      <c r="Q15" s="18" t="s">
        <v>67</v>
      </c>
      <c r="R15" s="19">
        <v>1000</v>
      </c>
      <c r="S15" s="19">
        <v>550</v>
      </c>
      <c r="T15" s="20">
        <f t="shared" si="3"/>
        <v>0.55000000000000004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408</v>
      </c>
      <c r="J16" s="17">
        <f t="shared" si="1"/>
        <v>1.02</v>
      </c>
      <c r="L16" s="15" t="s">
        <v>70</v>
      </c>
      <c r="M16" s="16">
        <v>1000</v>
      </c>
      <c r="N16" s="16">
        <v>1180</v>
      </c>
      <c r="O16" s="17">
        <f t="shared" si="2"/>
        <v>1.18</v>
      </c>
      <c r="Q16" s="15" t="s">
        <v>71</v>
      </c>
      <c r="R16" s="16">
        <v>2000</v>
      </c>
      <c r="S16" s="16">
        <v>1100</v>
      </c>
      <c r="T16" s="17">
        <f t="shared" si="3"/>
        <v>0.55000000000000004</v>
      </c>
    </row>
    <row r="17" spans="2:21" x14ac:dyDescent="0.3">
      <c r="B17" s="18" t="s">
        <v>72</v>
      </c>
      <c r="C17" s="19">
        <v>5000</v>
      </c>
      <c r="D17" s="19">
        <v>5000</v>
      </c>
      <c r="E17" s="20">
        <f t="shared" si="0"/>
        <v>1</v>
      </c>
      <c r="G17" s="18" t="s">
        <v>73</v>
      </c>
      <c r="H17" s="19">
        <v>1200</v>
      </c>
      <c r="I17" s="19">
        <v>1200</v>
      </c>
      <c r="J17" s="20">
        <f t="shared" si="1"/>
        <v>1</v>
      </c>
      <c r="L17" s="18" t="s">
        <v>74</v>
      </c>
      <c r="M17" s="19">
        <v>800</v>
      </c>
      <c r="N17" s="19">
        <v>912</v>
      </c>
      <c r="O17" s="20">
        <f t="shared" si="2"/>
        <v>1.1399999999999999</v>
      </c>
      <c r="Q17" s="18" t="s">
        <v>75</v>
      </c>
      <c r="R17" s="19">
        <v>1500</v>
      </c>
      <c r="S17" s="19">
        <v>825</v>
      </c>
      <c r="T17" s="20">
        <f t="shared" si="3"/>
        <v>0.55000000000000004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5880</v>
      </c>
      <c r="J18" s="17">
        <f t="shared" si="1"/>
        <v>0.98</v>
      </c>
      <c r="L18" s="15" t="s">
        <v>78</v>
      </c>
      <c r="M18" s="16">
        <v>1000</v>
      </c>
      <c r="N18" s="16">
        <v>1210</v>
      </c>
      <c r="O18" s="17">
        <f t="shared" si="2"/>
        <v>1.21</v>
      </c>
      <c r="Q18" s="15" t="s">
        <v>79</v>
      </c>
      <c r="R18" s="16">
        <v>2000</v>
      </c>
      <c r="S18" s="16">
        <v>1100</v>
      </c>
      <c r="T18" s="17">
        <f t="shared" si="3"/>
        <v>0.55000000000000004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507</v>
      </c>
      <c r="J19" s="20">
        <f t="shared" si="1"/>
        <v>1.014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83200</v>
      </c>
      <c r="D20" s="22">
        <f>SUM(D12:D19)</f>
        <v>83200</v>
      </c>
      <c r="E20" s="23">
        <f t="shared" si="0"/>
        <v>1</v>
      </c>
      <c r="G20" s="15" t="s">
        <v>85</v>
      </c>
      <c r="H20" s="16">
        <v>1500</v>
      </c>
      <c r="I20" s="16">
        <v>1492</v>
      </c>
      <c r="J20" s="17">
        <f t="shared" si="1"/>
        <v>0.9946666666666667</v>
      </c>
      <c r="L20" s="15" t="s">
        <v>86</v>
      </c>
      <c r="M20" s="16">
        <v>4000</v>
      </c>
      <c r="N20" s="16">
        <v>4520</v>
      </c>
      <c r="O20" s="17">
        <f t="shared" si="2"/>
        <v>1.1299999999999999</v>
      </c>
      <c r="Q20" s="24" t="s">
        <v>84</v>
      </c>
      <c r="R20" s="25">
        <f>SUM(R12:R19)</f>
        <v>16500</v>
      </c>
      <c r="S20" s="25">
        <f>SUM(S12:S19)</f>
        <v>9075</v>
      </c>
      <c r="T20" s="26">
        <f t="shared" si="3"/>
        <v>0.55000000000000004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1800</v>
      </c>
      <c r="N21" s="19">
        <v>2160</v>
      </c>
      <c r="O21" s="20">
        <f t="shared" si="2"/>
        <v>1.2</v>
      </c>
    </row>
    <row r="22" spans="2:21" x14ac:dyDescent="0.3">
      <c r="G22" s="27" t="s">
        <v>84</v>
      </c>
      <c r="H22" s="28">
        <f>SUM(H12:H21)</f>
        <v>27900</v>
      </c>
      <c r="I22" s="28">
        <f>SUM(I12:I21)</f>
        <v>27681</v>
      </c>
      <c r="J22" s="29">
        <f t="shared" si="1"/>
        <v>0.99215053763440864</v>
      </c>
      <c r="L22" s="15" t="s">
        <v>89</v>
      </c>
      <c r="M22" s="16">
        <v>700</v>
      </c>
      <c r="N22" s="16">
        <v>812</v>
      </c>
      <c r="O22" s="17">
        <f t="shared" si="2"/>
        <v>1.1599999999999999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28350</v>
      </c>
      <c r="N24" s="31">
        <f>SUM(N12:N23)</f>
        <v>33858</v>
      </c>
      <c r="O24" s="32">
        <f t="shared" si="2"/>
        <v>1.1942857142857144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83200</v>
      </c>
      <c r="G28" s="35">
        <f>D20</f>
        <v>83200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27900</v>
      </c>
      <c r="G29" s="37">
        <f>I22</f>
        <v>27681</v>
      </c>
      <c r="H29" s="38" t="str">
        <f>IF(G29&gt;F29,"⚠️ Over Budget","✅ On Budget")</f>
        <v>✅ On Budget</v>
      </c>
    </row>
    <row r="30" spans="2:21" x14ac:dyDescent="0.3">
      <c r="B30" s="98" t="s">
        <v>96</v>
      </c>
      <c r="C30" s="98"/>
      <c r="D30" s="98"/>
      <c r="E30" s="98"/>
      <c r="F30" s="35">
        <f>M24</f>
        <v>28350</v>
      </c>
      <c r="G30" s="35">
        <f>N24</f>
        <v>33858</v>
      </c>
      <c r="H30" s="36" t="str">
        <f>IF(G30&gt;F30,"⚠️ Over Budget","✅ On Budget")</f>
        <v>⚠️ Over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56250</v>
      </c>
      <c r="G31" s="37">
        <f>G29+G30</f>
        <v>61539</v>
      </c>
      <c r="H31" s="38" t="str">
        <f>IF(G31&gt;F31,"⚠️ Over Budget","✅ On Budget")</f>
        <v>⚠️ Over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9075</v>
      </c>
      <c r="H32" s="36" t="str">
        <f>IF(G32&gt;=F32,"✅ Goal Met","⚠️ Below Goal")</f>
        <v>⚠️ Below Goal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10450</v>
      </c>
      <c r="G33" s="39">
        <f>G28-G31-G32</f>
        <v>12586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0.19831730769230768</v>
      </c>
      <c r="G34" s="40">
        <f>IF(G28=0,0,G32/G28)</f>
        <v>0.10907451923076923</v>
      </c>
      <c r="H34" s="41" t="str">
        <f>IF(G34&gt;=0.2,"🌟 Excellent","👍 Keep Going")</f>
        <v>👍 Keep Going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12586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36" priority="3">
      <formula>D12&gt;=C12</formula>
    </cfRule>
    <cfRule type="expression" dxfId="35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{71332526-478C-4DE1-8F40-3429CB56CBBB}</x14:id>
        </ext>
      </extLst>
    </cfRule>
  </conditionalFormatting>
  <conditionalFormatting sqref="F33:G33">
    <cfRule type="expression" dxfId="34" priority="15">
      <formula>G33&lt;0</formula>
    </cfRule>
    <cfRule type="expression" dxfId="33" priority="16">
      <formula>G33&gt;=0</formula>
    </cfRule>
  </conditionalFormatting>
  <conditionalFormatting sqref="G36">
    <cfRule type="expression" dxfId="32" priority="17">
      <formula>G33&lt;0</formula>
    </cfRule>
  </conditionalFormatting>
  <conditionalFormatting sqref="H28:H34">
    <cfRule type="expression" dxfId="31" priority="12">
      <formula>ISNUMBER(SEARCH("⚠",H28))</formula>
    </cfRule>
    <cfRule type="expression" dxfId="30" priority="13">
      <formula>ISNUMBER(SEARCH("✅",H28))</formula>
    </cfRule>
    <cfRule type="expression" dxfId="29" priority="14">
      <formula>ISNUMBER(SEARCH("🌟",H28))</formula>
    </cfRule>
  </conditionalFormatting>
  <conditionalFormatting sqref="I12:I21">
    <cfRule type="expression" dxfId="28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{44FCC882-948E-438B-9D25-FF9DBB663439}</x14:id>
        </ext>
      </extLst>
    </cfRule>
  </conditionalFormatting>
  <conditionalFormatting sqref="N12:N23">
    <cfRule type="expression" dxfId="27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{2A60C91E-8067-4BCE-9CC5-17ADDEF44720}</x14:id>
        </ext>
      </extLst>
    </cfRule>
  </conditionalFormatting>
  <conditionalFormatting sqref="S12:S19">
    <cfRule type="expression" dxfId="26" priority="10">
      <formula>S12&gt;=R12</formula>
    </cfRule>
    <cfRule type="expression" dxfId="25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{C6AB65C6-259F-48B9-AA51-22946C679000}</x14:id>
        </ext>
      </extLst>
    </cfRule>
  </conditionalFormatting>
  <hyperlinks>
    <hyperlink ref="B1" r:id="rId1" location="'Dashboard'!A1" xr:uid="{00000000-0004-0000-0A00-000000000000}"/>
    <hyperlink ref="N1" r:id="rId2" location="'Sep'!A1" xr:uid="{00000000-0004-0000-0A00-000001000000}"/>
    <hyperlink ref="R1" r:id="rId3" location="'Nov'!A1" xr:uid="{00000000-0004-0000-0A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332526-478C-4DE1-8F40-3429CB56CBBB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44FCC882-948E-438B-9D25-FF9DBB663439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2A60C91E-8067-4BCE-9CC5-17ADDEF44720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C6AB65C6-259F-48B9-AA51-22946C679000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9A227"/>
    <pageSetUpPr fitToPage="1"/>
  </sheetPr>
  <dimension ref="A1:U42"/>
  <sheetViews>
    <sheetView showGridLines="0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131</v>
      </c>
      <c r="O1" s="119"/>
      <c r="P1" s="119"/>
      <c r="Q1" s="119"/>
      <c r="R1" s="119" t="s">
        <v>132</v>
      </c>
      <c r="S1" s="119"/>
      <c r="T1" s="119"/>
      <c r="U1" s="119"/>
    </row>
    <row r="2" spans="1:21" ht="30" customHeight="1" x14ac:dyDescent="0.3">
      <c r="B2" s="120" t="s">
        <v>133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78200</v>
      </c>
      <c r="C7" s="104"/>
      <c r="D7" s="104"/>
      <c r="E7" s="104"/>
      <c r="F7" s="104"/>
      <c r="G7" s="105">
        <f>G31</f>
        <v>51486</v>
      </c>
      <c r="H7" s="105"/>
      <c r="I7" s="105"/>
      <c r="J7" s="105"/>
      <c r="K7" s="105"/>
      <c r="L7" s="106">
        <f>G32</f>
        <v>13200</v>
      </c>
      <c r="M7" s="106"/>
      <c r="N7" s="106"/>
      <c r="O7" s="106"/>
      <c r="P7" s="106"/>
      <c r="Q7" s="107">
        <f>G33</f>
        <v>13514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71000</v>
      </c>
      <c r="D12" s="16">
        <v>71000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15000</v>
      </c>
      <c r="J12" s="17">
        <f t="shared" ref="J12:J22" si="1">IF(H12=0,IF(I12=0,0,1),I12/H12)</f>
        <v>1</v>
      </c>
      <c r="L12" s="15" t="s">
        <v>54</v>
      </c>
      <c r="M12" s="16">
        <v>6000</v>
      </c>
      <c r="N12" s="16">
        <v>5760</v>
      </c>
      <c r="O12" s="17">
        <f t="shared" ref="O12:O24" si="2">IF(M12=0,IF(N12=0,0,1),N12/M12)</f>
        <v>0.96</v>
      </c>
      <c r="Q12" s="15" t="s">
        <v>55</v>
      </c>
      <c r="R12" s="16">
        <v>3000</v>
      </c>
      <c r="S12" s="16">
        <v>2400</v>
      </c>
      <c r="T12" s="17">
        <f t="shared" ref="T12:T20" si="3">IF(R12=0,IF(S12=0,0,1),S12/R12)</f>
        <v>0.8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2200</v>
      </c>
      <c r="I13" s="19">
        <v>2156</v>
      </c>
      <c r="J13" s="20">
        <f t="shared" si="1"/>
        <v>0.98</v>
      </c>
      <c r="L13" s="18" t="s">
        <v>58</v>
      </c>
      <c r="M13" s="19">
        <v>3000</v>
      </c>
      <c r="N13" s="19">
        <v>3090</v>
      </c>
      <c r="O13" s="20">
        <f t="shared" si="2"/>
        <v>1.03</v>
      </c>
      <c r="Q13" s="18" t="s">
        <v>59</v>
      </c>
      <c r="R13" s="19">
        <v>5000</v>
      </c>
      <c r="S13" s="19">
        <v>4000</v>
      </c>
      <c r="T13" s="20">
        <f t="shared" si="3"/>
        <v>0.8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304</v>
      </c>
      <c r="J14" s="17">
        <f t="shared" si="1"/>
        <v>1.0133333333333334</v>
      </c>
      <c r="L14" s="15" t="s">
        <v>62</v>
      </c>
      <c r="M14" s="16">
        <v>2000</v>
      </c>
      <c r="N14" s="16">
        <v>1980</v>
      </c>
      <c r="O14" s="17">
        <f t="shared" si="2"/>
        <v>0.99</v>
      </c>
      <c r="Q14" s="15" t="s">
        <v>63</v>
      </c>
      <c r="R14" s="16">
        <v>2000</v>
      </c>
      <c r="S14" s="16">
        <v>1600</v>
      </c>
      <c r="T14" s="17">
        <f t="shared" si="3"/>
        <v>0.8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796</v>
      </c>
      <c r="J15" s="20">
        <f t="shared" si="1"/>
        <v>0.995</v>
      </c>
      <c r="L15" s="18" t="s">
        <v>66</v>
      </c>
      <c r="M15" s="19">
        <v>6600</v>
      </c>
      <c r="N15" s="19">
        <v>6270</v>
      </c>
      <c r="O15" s="20">
        <f t="shared" si="2"/>
        <v>0.95</v>
      </c>
      <c r="Q15" s="18" t="s">
        <v>67</v>
      </c>
      <c r="R15" s="19">
        <v>1000</v>
      </c>
      <c r="S15" s="19">
        <v>800</v>
      </c>
      <c r="T15" s="20">
        <f t="shared" si="3"/>
        <v>0.8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390</v>
      </c>
      <c r="J16" s="17">
        <f t="shared" si="1"/>
        <v>0.97499999999999998</v>
      </c>
      <c r="L16" s="15" t="s">
        <v>70</v>
      </c>
      <c r="M16" s="16">
        <v>1000</v>
      </c>
      <c r="N16" s="16">
        <v>1020</v>
      </c>
      <c r="O16" s="17">
        <f t="shared" si="2"/>
        <v>1.02</v>
      </c>
      <c r="Q16" s="15" t="s">
        <v>71</v>
      </c>
      <c r="R16" s="16">
        <v>2000</v>
      </c>
      <c r="S16" s="16">
        <v>1600</v>
      </c>
      <c r="T16" s="17">
        <f t="shared" si="3"/>
        <v>0.8</v>
      </c>
    </row>
    <row r="17" spans="2:21" x14ac:dyDescent="0.3">
      <c r="B17" s="18" t="s">
        <v>72</v>
      </c>
      <c r="C17" s="19">
        <v>0</v>
      </c>
      <c r="D17" s="19">
        <v>0</v>
      </c>
      <c r="E17" s="20">
        <f t="shared" si="0"/>
        <v>0</v>
      </c>
      <c r="G17" s="18" t="s">
        <v>73</v>
      </c>
      <c r="H17" s="19">
        <v>1200</v>
      </c>
      <c r="I17" s="19">
        <v>1212</v>
      </c>
      <c r="J17" s="20">
        <f t="shared" si="1"/>
        <v>1.01</v>
      </c>
      <c r="L17" s="18" t="s">
        <v>74</v>
      </c>
      <c r="M17" s="19">
        <v>800</v>
      </c>
      <c r="N17" s="19">
        <v>784</v>
      </c>
      <c r="O17" s="20">
        <f t="shared" si="2"/>
        <v>0.98</v>
      </c>
      <c r="Q17" s="18" t="s">
        <v>75</v>
      </c>
      <c r="R17" s="19">
        <v>1500</v>
      </c>
      <c r="S17" s="19">
        <v>1200</v>
      </c>
      <c r="T17" s="20">
        <f t="shared" si="3"/>
        <v>0.8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5940</v>
      </c>
      <c r="J18" s="17">
        <f t="shared" si="1"/>
        <v>0.99</v>
      </c>
      <c r="L18" s="15" t="s">
        <v>78</v>
      </c>
      <c r="M18" s="16">
        <v>1000</v>
      </c>
      <c r="N18" s="16">
        <v>1050</v>
      </c>
      <c r="O18" s="17">
        <f t="shared" si="2"/>
        <v>1.05</v>
      </c>
      <c r="Q18" s="15" t="s">
        <v>79</v>
      </c>
      <c r="R18" s="16">
        <v>2000</v>
      </c>
      <c r="S18" s="16">
        <v>1600</v>
      </c>
      <c r="T18" s="17">
        <f t="shared" si="3"/>
        <v>0.8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512</v>
      </c>
      <c r="J19" s="20">
        <f t="shared" si="1"/>
        <v>1.024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78200</v>
      </c>
      <c r="D20" s="22">
        <f>SUM(D12:D19)</f>
        <v>78200</v>
      </c>
      <c r="E20" s="23">
        <f t="shared" si="0"/>
        <v>1</v>
      </c>
      <c r="G20" s="15" t="s">
        <v>85</v>
      </c>
      <c r="H20" s="16">
        <v>1500</v>
      </c>
      <c r="I20" s="16">
        <v>1507</v>
      </c>
      <c r="J20" s="17">
        <f t="shared" si="1"/>
        <v>1.0046666666666666</v>
      </c>
      <c r="L20" s="15" t="s">
        <v>86</v>
      </c>
      <c r="M20" s="16">
        <v>1500</v>
      </c>
      <c r="N20" s="16">
        <v>1455</v>
      </c>
      <c r="O20" s="17">
        <f t="shared" si="2"/>
        <v>0.97</v>
      </c>
      <c r="Q20" s="24" t="s">
        <v>84</v>
      </c>
      <c r="R20" s="25">
        <f>SUM(R12:R19)</f>
        <v>16500</v>
      </c>
      <c r="S20" s="25">
        <f>SUM(S12:S19)</f>
        <v>13200</v>
      </c>
      <c r="T20" s="26">
        <f t="shared" si="3"/>
        <v>0.8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1500</v>
      </c>
      <c r="N21" s="19">
        <v>1560</v>
      </c>
      <c r="O21" s="20">
        <f t="shared" si="2"/>
        <v>1.04</v>
      </c>
    </row>
    <row r="22" spans="2:21" x14ac:dyDescent="0.3">
      <c r="G22" s="27" t="s">
        <v>84</v>
      </c>
      <c r="H22" s="28">
        <f>SUM(H12:H21)</f>
        <v>27900</v>
      </c>
      <c r="I22" s="28">
        <f>SUM(I12:I21)</f>
        <v>27817</v>
      </c>
      <c r="J22" s="29">
        <f t="shared" si="1"/>
        <v>0.99702508960573477</v>
      </c>
      <c r="L22" s="15" t="s">
        <v>89</v>
      </c>
      <c r="M22" s="16">
        <v>700</v>
      </c>
      <c r="N22" s="16">
        <v>700</v>
      </c>
      <c r="O22" s="17">
        <f t="shared" si="2"/>
        <v>1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24100</v>
      </c>
      <c r="N24" s="31">
        <f>SUM(N12:N23)</f>
        <v>23669</v>
      </c>
      <c r="O24" s="32">
        <f t="shared" si="2"/>
        <v>0.98211618257261413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78200</v>
      </c>
      <c r="G28" s="35">
        <f>D20</f>
        <v>78200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27900</v>
      </c>
      <c r="G29" s="37">
        <f>I22</f>
        <v>27817</v>
      </c>
      <c r="H29" s="38" t="str">
        <f>IF(G29&gt;F29,"⚠️ Over Budget","✅ On Budget")</f>
        <v>✅ On Budget</v>
      </c>
    </row>
    <row r="30" spans="2:21" x14ac:dyDescent="0.3">
      <c r="B30" s="98" t="s">
        <v>96</v>
      </c>
      <c r="C30" s="98"/>
      <c r="D30" s="98"/>
      <c r="E30" s="98"/>
      <c r="F30" s="35">
        <f>M24</f>
        <v>24100</v>
      </c>
      <c r="G30" s="35">
        <f>N24</f>
        <v>23669</v>
      </c>
      <c r="H30" s="36" t="str">
        <f>IF(G30&gt;F30,"⚠️ Over Budget","✅ On Budget")</f>
        <v>✅ On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52000</v>
      </c>
      <c r="G31" s="37">
        <f>G29+G30</f>
        <v>51486</v>
      </c>
      <c r="H31" s="38" t="str">
        <f>IF(G31&gt;F31,"⚠️ Over Budget","✅ On Budget")</f>
        <v>✅ On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13200</v>
      </c>
      <c r="H32" s="36" t="str">
        <f>IF(G32&gt;=F32,"✅ Goal Met","⚠️ Below Goal")</f>
        <v>⚠️ Below Goal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9700</v>
      </c>
      <c r="G33" s="39">
        <f>G28-G31-G32</f>
        <v>13514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0.21099744245524296</v>
      </c>
      <c r="G34" s="40">
        <f>IF(G28=0,0,G32/G28)</f>
        <v>0.16879795396419436</v>
      </c>
      <c r="H34" s="41" t="str">
        <f>IF(G34&gt;=0.2,"🌟 Excellent","👍 Keep Going")</f>
        <v>👍 Keep Going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13514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24" priority="3">
      <formula>D12&gt;=C12</formula>
    </cfRule>
    <cfRule type="expression" dxfId="23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{178320B7-7FF9-4C2A-8E4F-8D777D10B1FB}</x14:id>
        </ext>
      </extLst>
    </cfRule>
  </conditionalFormatting>
  <conditionalFormatting sqref="F33:G33">
    <cfRule type="expression" dxfId="22" priority="15">
      <formula>G33&lt;0</formula>
    </cfRule>
    <cfRule type="expression" dxfId="21" priority="16">
      <formula>G33&gt;=0</formula>
    </cfRule>
  </conditionalFormatting>
  <conditionalFormatting sqref="G36">
    <cfRule type="expression" dxfId="20" priority="17">
      <formula>G33&lt;0</formula>
    </cfRule>
  </conditionalFormatting>
  <conditionalFormatting sqref="H28:H34">
    <cfRule type="expression" dxfId="19" priority="12">
      <formula>ISNUMBER(SEARCH("⚠",H28))</formula>
    </cfRule>
    <cfRule type="expression" dxfId="18" priority="13">
      <formula>ISNUMBER(SEARCH("✅",H28))</formula>
    </cfRule>
    <cfRule type="expression" dxfId="17" priority="14">
      <formula>ISNUMBER(SEARCH("🌟",H28))</formula>
    </cfRule>
  </conditionalFormatting>
  <conditionalFormatting sqref="I12:I21">
    <cfRule type="expression" dxfId="16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{2CECA6BD-1B80-409D-B563-1C1FD81FDDB5}</x14:id>
        </ext>
      </extLst>
    </cfRule>
  </conditionalFormatting>
  <conditionalFormatting sqref="N12:N23">
    <cfRule type="expression" dxfId="15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{78A78ADF-6459-48D0-8699-DE6EEFA8BD19}</x14:id>
        </ext>
      </extLst>
    </cfRule>
  </conditionalFormatting>
  <conditionalFormatting sqref="S12:S19">
    <cfRule type="expression" dxfId="14" priority="10">
      <formula>S12&gt;=R12</formula>
    </cfRule>
    <cfRule type="expression" dxfId="13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{624EA5CC-C78F-41BF-A1FF-2A8220AA51F3}</x14:id>
        </ext>
      </extLst>
    </cfRule>
  </conditionalFormatting>
  <hyperlinks>
    <hyperlink ref="B1" r:id="rId1" location="'Dashboard'!A1" xr:uid="{00000000-0004-0000-0B00-000000000000}"/>
    <hyperlink ref="N1" r:id="rId2" location="'Oct'!A1" xr:uid="{00000000-0004-0000-0B00-000001000000}"/>
    <hyperlink ref="R1" r:id="rId3" location="'Dec'!A1" xr:uid="{00000000-0004-0000-0B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320B7-7FF9-4C2A-8E4F-8D777D10B1FB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2CECA6BD-1B80-409D-B563-1C1FD81FDDB5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78A78ADF-6459-48D0-8699-DE6EEFA8BD19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624EA5CC-C78F-41BF-A1FF-2A8220AA51F3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9A227"/>
    <pageSetUpPr fitToPage="1"/>
  </sheetPr>
  <dimension ref="A1:U42"/>
  <sheetViews>
    <sheetView showGridLines="0" zoomScale="75" zoomScaleNormal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2" customWidth="1"/>
    <col min="5" max="5" width="10" customWidth="1"/>
    <col min="6" max="6" width="3" customWidth="1"/>
    <col min="7" max="7" width="25" customWidth="1"/>
    <col min="8" max="9" width="12" customWidth="1"/>
    <col min="10" max="10" width="10" customWidth="1"/>
    <col min="11" max="11" width="3" customWidth="1"/>
    <col min="12" max="12" width="25" customWidth="1"/>
    <col min="13" max="14" width="12" customWidth="1"/>
    <col min="15" max="15" width="10" customWidth="1"/>
    <col min="16" max="16" width="3" customWidth="1"/>
    <col min="17" max="17" width="25" customWidth="1"/>
    <col min="18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34</v>
      </c>
      <c r="C1" s="117"/>
      <c r="D1" s="117"/>
      <c r="E1" s="117"/>
      <c r="F1" s="118" t="s">
        <v>35</v>
      </c>
      <c r="G1" s="118"/>
      <c r="H1" s="118"/>
      <c r="I1" s="118"/>
      <c r="J1" s="118"/>
      <c r="K1" s="118"/>
      <c r="L1" s="118"/>
      <c r="M1" s="118"/>
      <c r="N1" s="119" t="s">
        <v>134</v>
      </c>
      <c r="O1" s="119"/>
      <c r="P1" s="119"/>
      <c r="Q1" s="119"/>
      <c r="R1" s="119" t="s">
        <v>135</v>
      </c>
      <c r="S1" s="119"/>
      <c r="T1" s="119"/>
      <c r="U1" s="119"/>
    </row>
    <row r="2" spans="1:21" ht="30" customHeight="1" x14ac:dyDescent="0.3">
      <c r="B2" s="120" t="s">
        <v>136</v>
      </c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 spans="1:21" ht="18" customHeight="1" x14ac:dyDescent="0.3">
      <c r="B3" s="112" t="s">
        <v>39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ht="15.75" customHeight="1" x14ac:dyDescent="0.3">
      <c r="B5" s="113" t="s">
        <v>40</v>
      </c>
      <c r="C5" s="113"/>
      <c r="D5" s="113"/>
      <c r="E5" s="113"/>
      <c r="F5" s="113"/>
      <c r="G5" s="114" t="s">
        <v>41</v>
      </c>
      <c r="H5" s="114"/>
      <c r="I5" s="114"/>
      <c r="J5" s="114"/>
      <c r="K5" s="114"/>
      <c r="L5" s="115" t="s">
        <v>42</v>
      </c>
      <c r="M5" s="115"/>
      <c r="N5" s="115"/>
      <c r="O5" s="115"/>
      <c r="P5" s="115"/>
      <c r="Q5" s="116" t="s">
        <v>43</v>
      </c>
      <c r="R5" s="116"/>
      <c r="S5" s="116"/>
      <c r="T5" s="116"/>
    </row>
    <row r="6" spans="1:21" ht="15.75" customHeight="1" x14ac:dyDescent="0.3">
      <c r="B6" s="113"/>
      <c r="C6" s="113"/>
      <c r="D6" s="113"/>
      <c r="E6" s="113"/>
      <c r="F6" s="113"/>
      <c r="G6" s="114"/>
      <c r="H6" s="114"/>
      <c r="I6" s="114"/>
      <c r="J6" s="114"/>
      <c r="K6" s="114"/>
      <c r="L6" s="115"/>
      <c r="M6" s="115"/>
      <c r="N6" s="115"/>
      <c r="O6" s="115"/>
      <c r="P6" s="115"/>
      <c r="Q6" s="116"/>
      <c r="R6" s="116"/>
      <c r="S6" s="116"/>
      <c r="T6" s="116"/>
    </row>
    <row r="7" spans="1:21" ht="15.75" customHeight="1" x14ac:dyDescent="0.3">
      <c r="B7" s="104">
        <f>G28</f>
        <v>93200</v>
      </c>
      <c r="C7" s="104"/>
      <c r="D7" s="104"/>
      <c r="E7" s="104"/>
      <c r="F7" s="104"/>
      <c r="G7" s="105">
        <f>G31</f>
        <v>55075</v>
      </c>
      <c r="H7" s="105"/>
      <c r="I7" s="105"/>
      <c r="J7" s="105"/>
      <c r="K7" s="105"/>
      <c r="L7" s="106">
        <f>G32</f>
        <v>16590</v>
      </c>
      <c r="M7" s="106"/>
      <c r="N7" s="106"/>
      <c r="O7" s="106"/>
      <c r="P7" s="106"/>
      <c r="Q7" s="107">
        <f>G33</f>
        <v>21535</v>
      </c>
      <c r="R7" s="107"/>
      <c r="S7" s="107"/>
      <c r="T7" s="107"/>
    </row>
    <row r="8" spans="1:21" ht="15.75" customHeight="1" x14ac:dyDescent="0.3">
      <c r="B8" s="104"/>
      <c r="C8" s="104"/>
      <c r="D8" s="104"/>
      <c r="E8" s="104"/>
      <c r="F8" s="104"/>
      <c r="G8" s="105"/>
      <c r="H8" s="105"/>
      <c r="I8" s="105"/>
      <c r="J8" s="105"/>
      <c r="K8" s="105"/>
      <c r="L8" s="106"/>
      <c r="M8" s="106"/>
      <c r="N8" s="106"/>
      <c r="O8" s="106"/>
      <c r="P8" s="106"/>
      <c r="Q8" s="107"/>
      <c r="R8" s="107"/>
      <c r="S8" s="107"/>
      <c r="T8" s="107"/>
    </row>
    <row r="9" spans="1:21" ht="7.5" customHeight="1" x14ac:dyDescent="0.3"/>
    <row r="10" spans="1:21" ht="21.75" customHeight="1" x14ac:dyDescent="0.3">
      <c r="B10" s="108" t="s">
        <v>44</v>
      </c>
      <c r="C10" s="108"/>
      <c r="D10" s="108"/>
      <c r="E10" s="108"/>
      <c r="G10" s="109" t="s">
        <v>45</v>
      </c>
      <c r="H10" s="109"/>
      <c r="I10" s="109"/>
      <c r="J10" s="109"/>
      <c r="L10" s="110" t="s">
        <v>46</v>
      </c>
      <c r="M10" s="110"/>
      <c r="N10" s="110"/>
      <c r="O10" s="110"/>
      <c r="Q10" s="111" t="s">
        <v>47</v>
      </c>
      <c r="R10" s="111"/>
      <c r="S10" s="111"/>
      <c r="T10" s="111"/>
    </row>
    <row r="11" spans="1:21" ht="18" customHeight="1" x14ac:dyDescent="0.3">
      <c r="B11" s="3" t="s">
        <v>48</v>
      </c>
      <c r="C11" s="4" t="s">
        <v>49</v>
      </c>
      <c r="D11" s="4" t="s">
        <v>50</v>
      </c>
      <c r="E11" s="5" t="s">
        <v>51</v>
      </c>
      <c r="G11" s="6" t="s">
        <v>48</v>
      </c>
      <c r="H11" s="7" t="s">
        <v>49</v>
      </c>
      <c r="I11" s="7" t="s">
        <v>50</v>
      </c>
      <c r="J11" s="8" t="s">
        <v>51</v>
      </c>
      <c r="L11" s="9" t="s">
        <v>48</v>
      </c>
      <c r="M11" s="10" t="s">
        <v>49</v>
      </c>
      <c r="N11" s="10" t="s">
        <v>50</v>
      </c>
      <c r="O11" s="11" t="s">
        <v>51</v>
      </c>
      <c r="Q11" s="12" t="s">
        <v>48</v>
      </c>
      <c r="R11" s="13" t="s">
        <v>49</v>
      </c>
      <c r="S11" s="13" t="s">
        <v>50</v>
      </c>
      <c r="T11" s="14" t="s">
        <v>51</v>
      </c>
    </row>
    <row r="12" spans="1:21" x14ac:dyDescent="0.3">
      <c r="B12" s="15" t="s">
        <v>52</v>
      </c>
      <c r="C12" s="16">
        <v>71000</v>
      </c>
      <c r="D12" s="16">
        <v>71000</v>
      </c>
      <c r="E12" s="17">
        <f t="shared" ref="E12:E20" si="0">IF(C12=0,IF(D12=0,0,1),D12/C12)</f>
        <v>1</v>
      </c>
      <c r="G12" s="15" t="s">
        <v>53</v>
      </c>
      <c r="H12" s="16">
        <v>15000</v>
      </c>
      <c r="I12" s="16">
        <v>15150</v>
      </c>
      <c r="J12" s="17">
        <f t="shared" ref="J12:J22" si="1">IF(H12=0,IF(I12=0,0,1),I12/H12)</f>
        <v>1.01</v>
      </c>
      <c r="L12" s="15" t="s">
        <v>54</v>
      </c>
      <c r="M12" s="16">
        <v>6000</v>
      </c>
      <c r="N12" s="16">
        <v>5880</v>
      </c>
      <c r="O12" s="17">
        <f t="shared" ref="O12:O24" si="2">IF(M12=0,IF(N12=0,0,1),N12/M12)</f>
        <v>0.98</v>
      </c>
      <c r="Q12" s="15" t="s">
        <v>55</v>
      </c>
      <c r="R12" s="16">
        <v>3000</v>
      </c>
      <c r="S12" s="16">
        <v>3075</v>
      </c>
      <c r="T12" s="17">
        <f t="shared" ref="T12:T20" si="3">IF(R12=0,IF(S12=0,0,1),S12/R12)</f>
        <v>1.0249999999999999</v>
      </c>
    </row>
    <row r="13" spans="1:21" x14ac:dyDescent="0.3">
      <c r="B13" s="18" t="s">
        <v>56</v>
      </c>
      <c r="C13" s="19">
        <v>6000</v>
      </c>
      <c r="D13" s="19">
        <v>6000</v>
      </c>
      <c r="E13" s="20">
        <f t="shared" si="0"/>
        <v>1</v>
      </c>
      <c r="G13" s="18" t="s">
        <v>57</v>
      </c>
      <c r="H13" s="19">
        <v>2200</v>
      </c>
      <c r="I13" s="19">
        <v>2178</v>
      </c>
      <c r="J13" s="20">
        <f t="shared" si="1"/>
        <v>0.99</v>
      </c>
      <c r="L13" s="18" t="s">
        <v>58</v>
      </c>
      <c r="M13" s="19">
        <v>3500</v>
      </c>
      <c r="N13" s="19">
        <v>3675</v>
      </c>
      <c r="O13" s="20">
        <f t="shared" si="2"/>
        <v>1.05</v>
      </c>
      <c r="Q13" s="18" t="s">
        <v>59</v>
      </c>
      <c r="R13" s="19">
        <v>5000</v>
      </c>
      <c r="S13" s="19">
        <v>5025</v>
      </c>
      <c r="T13" s="20">
        <f t="shared" si="3"/>
        <v>1.0049999999999999</v>
      </c>
    </row>
    <row r="14" spans="1:21" x14ac:dyDescent="0.3">
      <c r="B14" s="15" t="s">
        <v>60</v>
      </c>
      <c r="C14" s="16">
        <v>0</v>
      </c>
      <c r="D14" s="16">
        <v>0</v>
      </c>
      <c r="E14" s="17">
        <f t="shared" si="0"/>
        <v>0</v>
      </c>
      <c r="G14" s="15" t="s">
        <v>61</v>
      </c>
      <c r="H14" s="16">
        <v>300</v>
      </c>
      <c r="I14" s="16">
        <v>308</v>
      </c>
      <c r="J14" s="17">
        <f t="shared" si="1"/>
        <v>1.0266666666666666</v>
      </c>
      <c r="L14" s="15" t="s">
        <v>62</v>
      </c>
      <c r="M14" s="16">
        <v>2000</v>
      </c>
      <c r="N14" s="16">
        <v>2020</v>
      </c>
      <c r="O14" s="17">
        <f t="shared" si="2"/>
        <v>1.01</v>
      </c>
      <c r="Q14" s="15" t="s">
        <v>63</v>
      </c>
      <c r="R14" s="16">
        <v>2000</v>
      </c>
      <c r="S14" s="16">
        <v>1970</v>
      </c>
      <c r="T14" s="17">
        <f t="shared" si="3"/>
        <v>0.98499999999999999</v>
      </c>
    </row>
    <row r="15" spans="1:21" x14ac:dyDescent="0.3">
      <c r="B15" s="18" t="s">
        <v>64</v>
      </c>
      <c r="C15" s="19">
        <v>0</v>
      </c>
      <c r="D15" s="19">
        <v>0</v>
      </c>
      <c r="E15" s="20">
        <f t="shared" si="0"/>
        <v>0</v>
      </c>
      <c r="G15" s="18" t="s">
        <v>65</v>
      </c>
      <c r="H15" s="19">
        <v>800</v>
      </c>
      <c r="I15" s="19">
        <v>804</v>
      </c>
      <c r="J15" s="20">
        <f t="shared" si="1"/>
        <v>1.0049999999999999</v>
      </c>
      <c r="L15" s="18" t="s">
        <v>66</v>
      </c>
      <c r="M15" s="19">
        <v>4200</v>
      </c>
      <c r="N15" s="19">
        <v>4074</v>
      </c>
      <c r="O15" s="20">
        <f t="shared" si="2"/>
        <v>0.97</v>
      </c>
      <c r="Q15" s="18" t="s">
        <v>67</v>
      </c>
      <c r="R15" s="19">
        <v>1000</v>
      </c>
      <c r="S15" s="19">
        <v>1020</v>
      </c>
      <c r="T15" s="20">
        <f t="shared" si="3"/>
        <v>1.02</v>
      </c>
    </row>
    <row r="16" spans="1:21" x14ac:dyDescent="0.3">
      <c r="B16" s="15" t="s">
        <v>68</v>
      </c>
      <c r="C16" s="16">
        <v>1200</v>
      </c>
      <c r="D16" s="16">
        <v>1200</v>
      </c>
      <c r="E16" s="17">
        <f t="shared" si="0"/>
        <v>1</v>
      </c>
      <c r="G16" s="15" t="s">
        <v>69</v>
      </c>
      <c r="H16" s="16">
        <v>400</v>
      </c>
      <c r="I16" s="16">
        <v>394</v>
      </c>
      <c r="J16" s="17">
        <f t="shared" si="1"/>
        <v>0.98499999999999999</v>
      </c>
      <c r="L16" s="15" t="s">
        <v>70</v>
      </c>
      <c r="M16" s="16">
        <v>1000</v>
      </c>
      <c r="N16" s="16">
        <v>1040</v>
      </c>
      <c r="O16" s="17">
        <f t="shared" si="2"/>
        <v>1.04</v>
      </c>
      <c r="Q16" s="15" t="s">
        <v>71</v>
      </c>
      <c r="R16" s="16">
        <v>2000</v>
      </c>
      <c r="S16" s="16">
        <v>2000</v>
      </c>
      <c r="T16" s="17">
        <f t="shared" si="3"/>
        <v>1</v>
      </c>
    </row>
    <row r="17" spans="2:21" x14ac:dyDescent="0.3">
      <c r="B17" s="18" t="s">
        <v>72</v>
      </c>
      <c r="C17" s="19">
        <v>15000</v>
      </c>
      <c r="D17" s="19">
        <v>15000</v>
      </c>
      <c r="E17" s="20">
        <f t="shared" si="0"/>
        <v>1</v>
      </c>
      <c r="G17" s="18" t="s">
        <v>73</v>
      </c>
      <c r="H17" s="19">
        <v>1200</v>
      </c>
      <c r="I17" s="19">
        <v>1224</v>
      </c>
      <c r="J17" s="20">
        <f t="shared" si="1"/>
        <v>1.02</v>
      </c>
      <c r="L17" s="18" t="s">
        <v>74</v>
      </c>
      <c r="M17" s="19">
        <v>800</v>
      </c>
      <c r="N17" s="19">
        <v>800</v>
      </c>
      <c r="O17" s="20">
        <f t="shared" si="2"/>
        <v>1</v>
      </c>
      <c r="Q17" s="18" t="s">
        <v>75</v>
      </c>
      <c r="R17" s="19">
        <v>1500</v>
      </c>
      <c r="S17" s="19">
        <v>1470</v>
      </c>
      <c r="T17" s="20">
        <f t="shared" si="3"/>
        <v>0.98</v>
      </c>
    </row>
    <row r="18" spans="2:21" x14ac:dyDescent="0.3">
      <c r="B18" s="15" t="s">
        <v>76</v>
      </c>
      <c r="C18" s="16">
        <v>0</v>
      </c>
      <c r="D18" s="16">
        <v>0</v>
      </c>
      <c r="E18" s="17">
        <f t="shared" si="0"/>
        <v>0</v>
      </c>
      <c r="G18" s="15" t="s">
        <v>77</v>
      </c>
      <c r="H18" s="16">
        <v>6000</v>
      </c>
      <c r="I18" s="16">
        <v>6000</v>
      </c>
      <c r="J18" s="17">
        <f t="shared" si="1"/>
        <v>1</v>
      </c>
      <c r="L18" s="15" t="s">
        <v>78</v>
      </c>
      <c r="M18" s="16">
        <v>1000</v>
      </c>
      <c r="N18" s="16">
        <v>960</v>
      </c>
      <c r="O18" s="17">
        <f t="shared" si="2"/>
        <v>0.96</v>
      </c>
      <c r="Q18" s="15" t="s">
        <v>79</v>
      </c>
      <c r="R18" s="16">
        <v>2000</v>
      </c>
      <c r="S18" s="16">
        <v>2030</v>
      </c>
      <c r="T18" s="17">
        <f t="shared" si="3"/>
        <v>1.0149999999999999</v>
      </c>
    </row>
    <row r="19" spans="2:21" x14ac:dyDescent="0.3">
      <c r="B19" s="18" t="s">
        <v>80</v>
      </c>
      <c r="C19" s="19">
        <v>0</v>
      </c>
      <c r="D19" s="19">
        <v>0</v>
      </c>
      <c r="E19" s="20">
        <f t="shared" si="0"/>
        <v>0</v>
      </c>
      <c r="G19" s="18" t="s">
        <v>81</v>
      </c>
      <c r="H19" s="19">
        <v>500</v>
      </c>
      <c r="I19" s="19">
        <v>490</v>
      </c>
      <c r="J19" s="20">
        <f t="shared" si="1"/>
        <v>0.98</v>
      </c>
      <c r="L19" s="18" t="s">
        <v>82</v>
      </c>
      <c r="M19" s="19">
        <v>0</v>
      </c>
      <c r="N19" s="19">
        <v>0</v>
      </c>
      <c r="O19" s="20">
        <f t="shared" si="2"/>
        <v>0</v>
      </c>
      <c r="Q19" s="18" t="s">
        <v>83</v>
      </c>
      <c r="R19" s="19">
        <v>0</v>
      </c>
      <c r="S19" s="19">
        <v>0</v>
      </c>
      <c r="T19" s="20">
        <f t="shared" si="3"/>
        <v>0</v>
      </c>
    </row>
    <row r="20" spans="2:21" x14ac:dyDescent="0.3">
      <c r="B20" s="21" t="s">
        <v>84</v>
      </c>
      <c r="C20" s="22">
        <f>SUM(C12:C19)</f>
        <v>93200</v>
      </c>
      <c r="D20" s="22">
        <f>SUM(D12:D19)</f>
        <v>93200</v>
      </c>
      <c r="E20" s="23">
        <f t="shared" si="0"/>
        <v>1</v>
      </c>
      <c r="G20" s="15" t="s">
        <v>85</v>
      </c>
      <c r="H20" s="16">
        <v>1500</v>
      </c>
      <c r="I20" s="16">
        <v>1522</v>
      </c>
      <c r="J20" s="17">
        <f t="shared" si="1"/>
        <v>1.0146666666666666</v>
      </c>
      <c r="L20" s="15" t="s">
        <v>86</v>
      </c>
      <c r="M20" s="16">
        <v>7000</v>
      </c>
      <c r="N20" s="16">
        <v>6930</v>
      </c>
      <c r="O20" s="17">
        <f t="shared" si="2"/>
        <v>0.99</v>
      </c>
      <c r="Q20" s="24" t="s">
        <v>84</v>
      </c>
      <c r="R20" s="25">
        <f>SUM(R12:R19)</f>
        <v>16500</v>
      </c>
      <c r="S20" s="25">
        <f>SUM(S12:S19)</f>
        <v>16590</v>
      </c>
      <c r="T20" s="26">
        <f t="shared" si="3"/>
        <v>1.0054545454545454</v>
      </c>
    </row>
    <row r="21" spans="2:21" x14ac:dyDescent="0.3">
      <c r="G21" s="18" t="s">
        <v>87</v>
      </c>
      <c r="H21" s="19">
        <v>0</v>
      </c>
      <c r="I21" s="19">
        <v>0</v>
      </c>
      <c r="J21" s="20">
        <f t="shared" si="1"/>
        <v>0</v>
      </c>
      <c r="L21" s="18" t="s">
        <v>88</v>
      </c>
      <c r="M21" s="19">
        <v>960</v>
      </c>
      <c r="N21" s="19">
        <v>912</v>
      </c>
      <c r="O21" s="20">
        <f t="shared" si="2"/>
        <v>0.95</v>
      </c>
    </row>
    <row r="22" spans="2:21" x14ac:dyDescent="0.3">
      <c r="G22" s="27" t="s">
        <v>84</v>
      </c>
      <c r="H22" s="28">
        <f>SUM(H12:H21)</f>
        <v>27900</v>
      </c>
      <c r="I22" s="28">
        <f>SUM(I12:I21)</f>
        <v>28070</v>
      </c>
      <c r="J22" s="29">
        <f t="shared" si="1"/>
        <v>1.0060931899641576</v>
      </c>
      <c r="L22" s="15" t="s">
        <v>89</v>
      </c>
      <c r="M22" s="16">
        <v>700</v>
      </c>
      <c r="N22" s="16">
        <v>714</v>
      </c>
      <c r="O22" s="17">
        <f t="shared" si="2"/>
        <v>1.02</v>
      </c>
    </row>
    <row r="23" spans="2:21" x14ac:dyDescent="0.3">
      <c r="L23" s="18" t="s">
        <v>90</v>
      </c>
      <c r="M23" s="19">
        <v>0</v>
      </c>
      <c r="N23" s="19">
        <v>0</v>
      </c>
      <c r="O23" s="20">
        <f t="shared" si="2"/>
        <v>0</v>
      </c>
    </row>
    <row r="24" spans="2:21" x14ac:dyDescent="0.3">
      <c r="L24" s="30" t="s">
        <v>84</v>
      </c>
      <c r="M24" s="31">
        <f>SUM(M12:M23)</f>
        <v>27160</v>
      </c>
      <c r="N24" s="31">
        <f>SUM(N12:N23)</f>
        <v>27005</v>
      </c>
      <c r="O24" s="32">
        <f t="shared" si="2"/>
        <v>0.99429307805596467</v>
      </c>
    </row>
    <row r="26" spans="2:21" ht="17.399999999999999" x14ac:dyDescent="0.3">
      <c r="B26" s="102" t="s">
        <v>91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</row>
    <row r="27" spans="2:21" x14ac:dyDescent="0.3">
      <c r="B27" s="103" t="s">
        <v>92</v>
      </c>
      <c r="C27" s="103"/>
      <c r="D27" s="103"/>
      <c r="E27" s="103"/>
      <c r="F27" s="33" t="s">
        <v>49</v>
      </c>
      <c r="G27" s="33" t="s">
        <v>50</v>
      </c>
      <c r="H27" s="34" t="s">
        <v>93</v>
      </c>
    </row>
    <row r="28" spans="2:21" x14ac:dyDescent="0.3">
      <c r="B28" s="98" t="s">
        <v>94</v>
      </c>
      <c r="C28" s="98"/>
      <c r="D28" s="98"/>
      <c r="E28" s="98"/>
      <c r="F28" s="35">
        <f>C20</f>
        <v>93200</v>
      </c>
      <c r="G28" s="35">
        <f>D20</f>
        <v>93200</v>
      </c>
      <c r="H28" s="36" t="str">
        <f>IF(G28&gt;=F28,"✅ Goal Met","⚠️ Below Target")</f>
        <v>✅ Goal Met</v>
      </c>
    </row>
    <row r="29" spans="2:21" x14ac:dyDescent="0.3">
      <c r="B29" s="97" t="s">
        <v>95</v>
      </c>
      <c r="C29" s="97"/>
      <c r="D29" s="97"/>
      <c r="E29" s="97"/>
      <c r="F29" s="37">
        <f>H22</f>
        <v>27900</v>
      </c>
      <c r="G29" s="37">
        <f>I22</f>
        <v>28070</v>
      </c>
      <c r="H29" s="38" t="str">
        <f>IF(G29&gt;F29,"⚠️ Over Budget","✅ On Budget")</f>
        <v>⚠️ Over Budget</v>
      </c>
    </row>
    <row r="30" spans="2:21" x14ac:dyDescent="0.3">
      <c r="B30" s="98" t="s">
        <v>96</v>
      </c>
      <c r="C30" s="98"/>
      <c r="D30" s="98"/>
      <c r="E30" s="98"/>
      <c r="F30" s="35">
        <f>M24</f>
        <v>27160</v>
      </c>
      <c r="G30" s="35">
        <f>N24</f>
        <v>27005</v>
      </c>
      <c r="H30" s="36" t="str">
        <f>IF(G30&gt;F30,"⚠️ Over Budget","✅ On Budget")</f>
        <v>✅ On Budget</v>
      </c>
    </row>
    <row r="31" spans="2:21" x14ac:dyDescent="0.3">
      <c r="B31" s="97" t="s">
        <v>97</v>
      </c>
      <c r="C31" s="97"/>
      <c r="D31" s="97"/>
      <c r="E31" s="97"/>
      <c r="F31" s="37">
        <f>F29+F30</f>
        <v>55060</v>
      </c>
      <c r="G31" s="37">
        <f>G29+G30</f>
        <v>55075</v>
      </c>
      <c r="H31" s="38" t="str">
        <f>IF(G31&gt;F31,"⚠️ Over Budget","✅ On Budget")</f>
        <v>⚠️ Over Budget</v>
      </c>
    </row>
    <row r="32" spans="2:21" x14ac:dyDescent="0.3">
      <c r="B32" s="98" t="s">
        <v>98</v>
      </c>
      <c r="C32" s="98"/>
      <c r="D32" s="98"/>
      <c r="E32" s="98"/>
      <c r="F32" s="35">
        <f>R20</f>
        <v>16500</v>
      </c>
      <c r="G32" s="35">
        <f>S20</f>
        <v>16590</v>
      </c>
      <c r="H32" s="36" t="str">
        <f>IF(G32&gt;=F32,"✅ Goal Met","⚠️ Below Goal")</f>
        <v>✅ Goal Met</v>
      </c>
    </row>
    <row r="33" spans="2:21" x14ac:dyDescent="0.3">
      <c r="B33" s="99" t="s">
        <v>99</v>
      </c>
      <c r="C33" s="99"/>
      <c r="D33" s="99"/>
      <c r="E33" s="99"/>
      <c r="F33" s="39">
        <f>F28-F31-F32</f>
        <v>21640</v>
      </c>
      <c r="G33" s="39">
        <f>G28-G31-G32</f>
        <v>21535</v>
      </c>
      <c r="H33" s="38" t="str">
        <f>IF(G33&gt;=0,"✅ Surplus","⚠️ Deficit")</f>
        <v>✅ Surplus</v>
      </c>
    </row>
    <row r="34" spans="2:21" x14ac:dyDescent="0.3">
      <c r="B34" s="100" t="s">
        <v>100</v>
      </c>
      <c r="C34" s="100"/>
      <c r="D34" s="100"/>
      <c r="E34" s="100"/>
      <c r="F34" s="40">
        <f>IF(F28=0,0,F32/F28)</f>
        <v>0.17703862660944206</v>
      </c>
      <c r="G34" s="40">
        <f>IF(G28=0,0,G32/G28)</f>
        <v>0.17800429184549357</v>
      </c>
      <c r="H34" s="41" t="str">
        <f>IF(G34&gt;=0.2,"🌟 Excellent","👍 Keep Going")</f>
        <v>👍 Keep Going</v>
      </c>
    </row>
    <row r="36" spans="2:21" ht="15" customHeight="1" x14ac:dyDescent="0.3">
      <c r="B36" s="101" t="s">
        <v>101</v>
      </c>
      <c r="C36" s="101"/>
      <c r="D36" s="101"/>
      <c r="E36" s="101"/>
      <c r="F36" s="101"/>
      <c r="G36" s="93">
        <f>G33</f>
        <v>21535</v>
      </c>
      <c r="H36" s="93"/>
      <c r="I36" s="93"/>
      <c r="J36" s="93"/>
      <c r="K36" s="93"/>
      <c r="L36" s="93"/>
      <c r="M36" s="93"/>
      <c r="N36" s="93"/>
      <c r="O36" s="94" t="str">
        <f>IF(G33&gt;=0,"✅ You're on track!","⚠️ You've overspent")</f>
        <v>✅ You're on track!</v>
      </c>
      <c r="P36" s="94"/>
      <c r="Q36" s="94"/>
      <c r="R36" s="94"/>
      <c r="S36" s="94"/>
      <c r="T36" s="94"/>
      <c r="U36" s="94"/>
    </row>
    <row r="37" spans="2:21" x14ac:dyDescent="0.3">
      <c r="B37" s="101"/>
      <c r="C37" s="101"/>
      <c r="D37" s="101"/>
      <c r="E37" s="101"/>
      <c r="F37" s="101"/>
      <c r="G37" s="93"/>
      <c r="H37" s="93"/>
      <c r="I37" s="93"/>
      <c r="J37" s="93"/>
      <c r="K37" s="93"/>
      <c r="L37" s="93"/>
      <c r="M37" s="93"/>
      <c r="N37" s="93"/>
      <c r="O37" s="94"/>
      <c r="P37" s="94"/>
      <c r="Q37" s="94"/>
      <c r="R37" s="94"/>
      <c r="S37" s="94"/>
      <c r="T37" s="94"/>
      <c r="U37" s="94"/>
    </row>
    <row r="38" spans="2:21" x14ac:dyDescent="0.3">
      <c r="B38" s="101"/>
      <c r="C38" s="101"/>
      <c r="D38" s="101"/>
      <c r="E38" s="101"/>
      <c r="F38" s="101"/>
      <c r="G38" s="93"/>
      <c r="H38" s="93"/>
      <c r="I38" s="93"/>
      <c r="J38" s="93"/>
      <c r="K38" s="93"/>
      <c r="L38" s="93"/>
      <c r="M38" s="93"/>
      <c r="N38" s="93"/>
      <c r="O38" s="94"/>
      <c r="P38" s="94"/>
      <c r="Q38" s="94"/>
      <c r="R38" s="94"/>
      <c r="S38" s="94"/>
      <c r="T38" s="94"/>
      <c r="U38" s="94"/>
    </row>
    <row r="39" spans="2:21" x14ac:dyDescent="0.3">
      <c r="B39" s="101"/>
      <c r="C39" s="101"/>
      <c r="D39" s="101"/>
      <c r="E39" s="101"/>
      <c r="F39" s="101"/>
      <c r="G39" s="93"/>
      <c r="H39" s="93"/>
      <c r="I39" s="93"/>
      <c r="J39" s="93"/>
      <c r="K39" s="93"/>
      <c r="L39" s="93"/>
      <c r="M39" s="93"/>
      <c r="N39" s="93"/>
      <c r="O39" s="94"/>
      <c r="P39" s="94"/>
      <c r="Q39" s="94"/>
      <c r="R39" s="94"/>
      <c r="S39" s="94"/>
      <c r="T39" s="94"/>
      <c r="U39" s="94"/>
    </row>
    <row r="41" spans="2:21" x14ac:dyDescent="0.3">
      <c r="B41" s="95" t="s">
        <v>102</v>
      </c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</row>
    <row r="42" spans="2:21" x14ac:dyDescent="0.3">
      <c r="B42" s="96" t="s">
        <v>103</v>
      </c>
      <c r="C42" s="96"/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</row>
  </sheetData>
  <mergeCells count="32">
    <mergeCell ref="B1:E1"/>
    <mergeCell ref="F1:M1"/>
    <mergeCell ref="N1:Q1"/>
    <mergeCell ref="R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E10"/>
    <mergeCell ref="G10:J10"/>
    <mergeCell ref="L10:O10"/>
    <mergeCell ref="Q10:T10"/>
    <mergeCell ref="B26:U26"/>
    <mergeCell ref="B27:E27"/>
    <mergeCell ref="B28:E28"/>
    <mergeCell ref="B29:E29"/>
    <mergeCell ref="B30:E30"/>
    <mergeCell ref="G36:N39"/>
    <mergeCell ref="O36:U39"/>
    <mergeCell ref="B41:U41"/>
    <mergeCell ref="B42:U42"/>
    <mergeCell ref="B31:E31"/>
    <mergeCell ref="B32:E32"/>
    <mergeCell ref="B33:E33"/>
    <mergeCell ref="B34:E34"/>
    <mergeCell ref="B36:F39"/>
  </mergeCells>
  <conditionalFormatting sqref="D12:D19">
    <cfRule type="expression" dxfId="12" priority="3">
      <formula>D12&gt;=C12</formula>
    </cfRule>
    <cfRule type="expression" dxfId="11" priority="4">
      <formula>D12&lt;C12</formula>
    </cfRule>
  </conditionalFormatting>
  <conditionalFormatting sqref="E12:E19">
    <cfRule type="dataBar" priority="2">
      <dataBar>
        <cfvo type="num" val="0"/>
        <cfvo type="num" val="1.2"/>
        <color rgb="FFBDEFD9"/>
      </dataBar>
      <extLst>
        <ext xmlns:x14="http://schemas.microsoft.com/office/spreadsheetml/2009/9/main" uri="{B025F937-C7B1-47D3-B67F-A62EFF666E3E}">
          <x14:id>{189349FA-2A8B-4C25-BE70-1F54E5BBB527}</x14:id>
        </ext>
      </extLst>
    </cfRule>
  </conditionalFormatting>
  <conditionalFormatting sqref="F33:G33">
    <cfRule type="expression" dxfId="10" priority="15">
      <formula>G33&lt;0</formula>
    </cfRule>
    <cfRule type="expression" dxfId="9" priority="16">
      <formula>G33&gt;=0</formula>
    </cfRule>
  </conditionalFormatting>
  <conditionalFormatting sqref="G36">
    <cfRule type="expression" dxfId="8" priority="17">
      <formula>G33&lt;0</formula>
    </cfRule>
  </conditionalFormatting>
  <conditionalFormatting sqref="H28:H34">
    <cfRule type="expression" dxfId="7" priority="12">
      <formula>ISNUMBER(SEARCH("⚠",H28))</formula>
    </cfRule>
    <cfRule type="expression" dxfId="6" priority="13">
      <formula>ISNUMBER(SEARCH("✅",H28))</formula>
    </cfRule>
    <cfRule type="expression" dxfId="5" priority="14">
      <formula>ISNUMBER(SEARCH("🌟",H28))</formula>
    </cfRule>
  </conditionalFormatting>
  <conditionalFormatting sqref="I12:I21">
    <cfRule type="expression" dxfId="4" priority="6">
      <formula>I12&gt;H12</formula>
    </cfRule>
  </conditionalFormatting>
  <conditionalFormatting sqref="J12:J21">
    <cfRule type="dataBar" priority="5">
      <dataBar>
        <cfvo type="num" val="0"/>
        <cfvo type="num" val="1.2"/>
        <color rgb="FFF8CFC2"/>
      </dataBar>
      <extLst>
        <ext xmlns:x14="http://schemas.microsoft.com/office/spreadsheetml/2009/9/main" uri="{B025F937-C7B1-47D3-B67F-A62EFF666E3E}">
          <x14:id>{9F442B22-AC73-4C90-8676-F78D267A2877}</x14:id>
        </ext>
      </extLst>
    </cfRule>
  </conditionalFormatting>
  <conditionalFormatting sqref="N12:N23">
    <cfRule type="expression" dxfId="3" priority="8">
      <formula>N12&gt;M12</formula>
    </cfRule>
  </conditionalFormatting>
  <conditionalFormatting sqref="O12:O23">
    <cfRule type="dataBar" priority="7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{28CA754E-B7F9-4667-82C0-7E8292C08049}</x14:id>
        </ext>
      </extLst>
    </cfRule>
  </conditionalFormatting>
  <conditionalFormatting sqref="S12:S19">
    <cfRule type="expression" dxfId="2" priority="10">
      <formula>S12&gt;=R12</formula>
    </cfRule>
    <cfRule type="expression" dxfId="1" priority="11">
      <formula>S12&lt;R12</formula>
    </cfRule>
  </conditionalFormatting>
  <conditionalFormatting sqref="T12:T19">
    <cfRule type="dataBar" priority="9">
      <dataBar>
        <cfvo type="num" val="0"/>
        <cfvo type="num" val="1.2"/>
        <color rgb="FFDDD0FB"/>
      </dataBar>
      <extLst>
        <ext xmlns:x14="http://schemas.microsoft.com/office/spreadsheetml/2009/9/main" uri="{B025F937-C7B1-47D3-B67F-A62EFF666E3E}">
          <x14:id>{15F7888B-32D2-4AAD-A6CF-1D88725E24DA}</x14:id>
        </ext>
      </extLst>
    </cfRule>
  </conditionalFormatting>
  <hyperlinks>
    <hyperlink ref="B1" r:id="rId1" location="'Dashboard'!A1" xr:uid="{00000000-0004-0000-0C00-000000000000}"/>
    <hyperlink ref="N1" r:id="rId2" location="'Nov'!A1" xr:uid="{00000000-0004-0000-0C00-000001000000}"/>
    <hyperlink ref="R1" r:id="rId3" location="'Dashboard'!A1" xr:uid="{00000000-0004-0000-0C00-000002000000}"/>
  </hyperlinks>
  <printOptions horizontalCentered="1"/>
  <pageMargins left="0.25" right="0.25" top="0.4" bottom="0.4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9349FA-2A8B-4C25-BE70-1F54E5BBB527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DEFD9"/>
            </x14:dataBar>
          </x14:cfRule>
          <xm:sqref>E12:E19</xm:sqref>
        </x14:conditionalFormatting>
        <x14:conditionalFormatting xmlns:xm="http://schemas.microsoft.com/office/excel/2006/main">
          <x14:cfRule type="dataBar" id="{9F442B22-AC73-4C90-8676-F78D267A2877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F8CFC2"/>
            </x14:dataBar>
          </x14:cfRule>
          <xm:sqref>J12:J21</xm:sqref>
        </x14:conditionalFormatting>
        <x14:conditionalFormatting xmlns:xm="http://schemas.microsoft.com/office/excel/2006/main">
          <x14:cfRule type="dataBar" id="{28CA754E-B7F9-4667-82C0-7E8292C08049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O12:O23</xm:sqref>
        </x14:conditionalFormatting>
        <x14:conditionalFormatting xmlns:xm="http://schemas.microsoft.com/office/excel/2006/main">
          <x14:cfRule type="dataBar" id="{15F7888B-32D2-4AAD-A6CF-1D88725E24DA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DDD0FB"/>
            </x14:dataBar>
          </x14:cfRule>
          <xm:sqref>T12:T19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2540"/>
    <pageSetUpPr fitToPage="1"/>
  </sheetPr>
  <dimension ref="A1:U83"/>
  <sheetViews>
    <sheetView showGridLines="0" tabSelected="1" zoomScaleNormal="100" workbookViewId="0">
      <pane ySplit="8" topLeftCell="A9" activePane="bottomLeft" state="frozen"/>
      <selection pane="bottomLeft"/>
    </sheetView>
  </sheetViews>
  <sheetFormatPr defaultColWidth="8.6640625" defaultRowHeight="14.4" x14ac:dyDescent="0.3"/>
  <cols>
    <col min="1" max="1" width="3" customWidth="1"/>
    <col min="2" max="2" width="25" customWidth="1"/>
    <col min="3" max="4" width="14" customWidth="1"/>
    <col min="5" max="5" width="12" customWidth="1"/>
    <col min="6" max="6" width="13" customWidth="1"/>
    <col min="7" max="8" width="14" customWidth="1"/>
    <col min="9" max="9" width="12" customWidth="1"/>
    <col min="10" max="10" width="10" customWidth="1"/>
    <col min="11" max="11" width="3" customWidth="1"/>
    <col min="12" max="13" width="14" customWidth="1"/>
    <col min="14" max="14" width="12" customWidth="1"/>
    <col min="15" max="15" width="10" customWidth="1"/>
    <col min="16" max="16" width="3" customWidth="1"/>
    <col min="17" max="18" width="14" customWidth="1"/>
    <col min="19" max="19" width="12" customWidth="1"/>
    <col min="20" max="20" width="10" customWidth="1"/>
    <col min="21" max="21" width="3" customWidth="1"/>
  </cols>
  <sheetData>
    <row r="1" spans="1:21" ht="19.5" customHeight="1" x14ac:dyDescent="0.3">
      <c r="A1" s="1"/>
      <c r="B1" s="117" t="s">
        <v>137</v>
      </c>
      <c r="C1" s="117"/>
      <c r="D1" s="117"/>
      <c r="E1" s="117"/>
      <c r="F1" s="117"/>
      <c r="G1" s="118" t="s">
        <v>138</v>
      </c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</row>
    <row r="2" spans="1:21" ht="31.5" customHeight="1" x14ac:dyDescent="0.3">
      <c r="B2" s="131" t="s">
        <v>139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</row>
    <row r="3" spans="1:21" ht="18" customHeight="1" x14ac:dyDescent="0.3">
      <c r="B3" s="112" t="s">
        <v>140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</row>
    <row r="4" spans="1:21" ht="6" customHeight="1" x14ac:dyDescent="0.3"/>
    <row r="5" spans="1:21" x14ac:dyDescent="0.3">
      <c r="B5" s="132" t="s">
        <v>141</v>
      </c>
      <c r="C5" s="132"/>
      <c r="D5" s="132"/>
      <c r="E5" s="132"/>
      <c r="F5" s="132"/>
      <c r="G5" s="133" t="s">
        <v>142</v>
      </c>
      <c r="H5" s="133"/>
      <c r="I5" s="133"/>
      <c r="J5" s="133"/>
      <c r="K5" s="133"/>
      <c r="L5" s="134" t="s">
        <v>143</v>
      </c>
      <c r="M5" s="134"/>
      <c r="N5" s="134"/>
      <c r="O5" s="134"/>
      <c r="P5" s="134"/>
      <c r="Q5" s="135" t="s">
        <v>144</v>
      </c>
      <c r="R5" s="135"/>
      <c r="S5" s="135"/>
      <c r="T5" s="135"/>
    </row>
    <row r="6" spans="1:21" x14ac:dyDescent="0.3">
      <c r="B6" s="132"/>
      <c r="C6" s="132"/>
      <c r="D6" s="132"/>
      <c r="E6" s="132"/>
      <c r="F6" s="132"/>
      <c r="G6" s="133"/>
      <c r="H6" s="133"/>
      <c r="I6" s="133"/>
      <c r="J6" s="133"/>
      <c r="K6" s="133"/>
      <c r="L6" s="134"/>
      <c r="M6" s="134"/>
      <c r="N6" s="134"/>
      <c r="O6" s="134"/>
      <c r="P6" s="134"/>
      <c r="Q6" s="135"/>
      <c r="R6" s="135"/>
      <c r="S6" s="135"/>
      <c r="T6" s="135"/>
    </row>
    <row r="7" spans="1:21" x14ac:dyDescent="0.3">
      <c r="B7" s="127">
        <f>SUM(Jan:Dec!G28:G28)</f>
        <v>932400</v>
      </c>
      <c r="C7" s="127"/>
      <c r="D7" s="127"/>
      <c r="E7" s="127"/>
      <c r="F7" s="127"/>
      <c r="G7" s="128">
        <f>SUM(Jan:Dec!G31:G31)</f>
        <v>602521</v>
      </c>
      <c r="H7" s="128"/>
      <c r="I7" s="128"/>
      <c r="J7" s="128"/>
      <c r="K7" s="128"/>
      <c r="L7" s="129">
        <f>SUM(Jan:Dec!G32:G32)</f>
        <v>192386</v>
      </c>
      <c r="M7" s="129"/>
      <c r="N7" s="129"/>
      <c r="O7" s="129"/>
      <c r="P7" s="129"/>
      <c r="Q7" s="130">
        <f>SUM(Jan:Dec!G33:G33)</f>
        <v>137493</v>
      </c>
      <c r="R7" s="130"/>
      <c r="S7" s="130"/>
      <c r="T7" s="130"/>
    </row>
    <row r="8" spans="1:21" x14ac:dyDescent="0.3">
      <c r="B8" s="127"/>
      <c r="C8" s="127"/>
      <c r="D8" s="127"/>
      <c r="E8" s="127"/>
      <c r="F8" s="127"/>
      <c r="G8" s="128"/>
      <c r="H8" s="128"/>
      <c r="I8" s="128"/>
      <c r="J8" s="128"/>
      <c r="K8" s="128"/>
      <c r="L8" s="129"/>
      <c r="M8" s="129"/>
      <c r="N8" s="129"/>
      <c r="O8" s="129"/>
      <c r="P8" s="129"/>
      <c r="Q8" s="130"/>
      <c r="R8" s="130"/>
      <c r="S8" s="130"/>
      <c r="T8" s="130"/>
    </row>
    <row r="10" spans="1:21" ht="15.6" x14ac:dyDescent="0.3">
      <c r="B10" s="123" t="s">
        <v>145</v>
      </c>
      <c r="C10" s="123"/>
      <c r="D10" s="123"/>
    </row>
    <row r="11" spans="1:21" x14ac:dyDescent="0.3">
      <c r="B11" s="42" t="s">
        <v>48</v>
      </c>
      <c r="C11" s="43" t="s">
        <v>146</v>
      </c>
      <c r="D11" s="44" t="s">
        <v>147</v>
      </c>
    </row>
    <row r="12" spans="1:21" x14ac:dyDescent="0.3">
      <c r="B12" s="45" t="s">
        <v>53</v>
      </c>
      <c r="C12" s="46">
        <f>SUM(Jan:Dec!I12:I12)</f>
        <v>180150</v>
      </c>
      <c r="D12" s="47">
        <f t="shared" ref="D12:D33" si="0">IF($C$34=0,0,C12/$C$34)</f>
        <v>0.29899372801943835</v>
      </c>
    </row>
    <row r="13" spans="1:21" x14ac:dyDescent="0.3">
      <c r="B13" s="48" t="s">
        <v>57</v>
      </c>
      <c r="C13" s="49">
        <f>SUM(Jan:Dec!I13:I13)</f>
        <v>30305</v>
      </c>
      <c r="D13" s="50">
        <f t="shared" si="0"/>
        <v>5.0297002096192499E-2</v>
      </c>
    </row>
    <row r="14" spans="1:21" x14ac:dyDescent="0.3">
      <c r="B14" s="45" t="s">
        <v>61</v>
      </c>
      <c r="C14" s="46">
        <f>SUM(Jan:Dec!I14:I14)</f>
        <v>3607</v>
      </c>
      <c r="D14" s="47">
        <f t="shared" si="0"/>
        <v>5.9865133331452351E-3</v>
      </c>
    </row>
    <row r="15" spans="1:21" x14ac:dyDescent="0.3">
      <c r="B15" s="48" t="s">
        <v>65</v>
      </c>
      <c r="C15" s="49">
        <f>SUM(Jan:Dec!I15:I15)</f>
        <v>9604</v>
      </c>
      <c r="D15" s="50">
        <f t="shared" si="0"/>
        <v>1.5939693388280243E-2</v>
      </c>
    </row>
    <row r="16" spans="1:21" x14ac:dyDescent="0.3">
      <c r="B16" s="45" t="s">
        <v>69</v>
      </c>
      <c r="C16" s="46">
        <f>SUM(Jan:Dec!I16:I16)</f>
        <v>4794</v>
      </c>
      <c r="D16" s="47">
        <f t="shared" si="0"/>
        <v>7.9565691486271854E-3</v>
      </c>
    </row>
    <row r="17" spans="2:4" x14ac:dyDescent="0.3">
      <c r="B17" s="48" t="s">
        <v>73</v>
      </c>
      <c r="C17" s="49">
        <f>SUM(Jan:Dec!I17:I17)</f>
        <v>14424</v>
      </c>
      <c r="D17" s="50">
        <f t="shared" si="0"/>
        <v>2.3939414559824471E-2</v>
      </c>
    </row>
    <row r="18" spans="2:4" x14ac:dyDescent="0.3">
      <c r="B18" s="45" t="s">
        <v>77</v>
      </c>
      <c r="C18" s="46">
        <f>SUM(Jan:Dec!I18:I18)</f>
        <v>72000</v>
      </c>
      <c r="D18" s="47">
        <f t="shared" si="0"/>
        <v>0.11949790961642831</v>
      </c>
    </row>
    <row r="19" spans="2:4" x14ac:dyDescent="0.3">
      <c r="B19" s="48" t="s">
        <v>81</v>
      </c>
      <c r="C19" s="49">
        <f>SUM(Jan:Dec!I19:I19)</f>
        <v>5989</v>
      </c>
      <c r="D19" s="50">
        <f t="shared" si="0"/>
        <v>9.9399025096220707E-3</v>
      </c>
    </row>
    <row r="20" spans="2:4" x14ac:dyDescent="0.3">
      <c r="B20" s="45" t="s">
        <v>85</v>
      </c>
      <c r="C20" s="46">
        <f>SUM(Jan:Dec!I20:I20)</f>
        <v>18020</v>
      </c>
      <c r="D20" s="47">
        <f t="shared" si="0"/>
        <v>2.9907671267889419E-2</v>
      </c>
    </row>
    <row r="21" spans="2:4" x14ac:dyDescent="0.3">
      <c r="B21" s="48" t="s">
        <v>87</v>
      </c>
      <c r="C21" s="49">
        <f>SUM(Jan:Dec!I21:I21)</f>
        <v>0</v>
      </c>
      <c r="D21" s="50">
        <f t="shared" si="0"/>
        <v>0</v>
      </c>
    </row>
    <row r="22" spans="2:4" x14ac:dyDescent="0.3">
      <c r="B22" s="45" t="s">
        <v>54</v>
      </c>
      <c r="C22" s="46">
        <f>SUM(Jan:Dec!N12:N12)</f>
        <v>72960</v>
      </c>
      <c r="D22" s="47">
        <f t="shared" si="0"/>
        <v>0.12109121507798068</v>
      </c>
    </row>
    <row r="23" spans="2:4" x14ac:dyDescent="0.3">
      <c r="B23" s="48" t="s">
        <v>58</v>
      </c>
      <c r="C23" s="49">
        <f>SUM(Jan:Dec!N13:N13)</f>
        <v>33033</v>
      </c>
      <c r="D23" s="50">
        <f t="shared" si="0"/>
        <v>5.482464511610384E-2</v>
      </c>
    </row>
    <row r="24" spans="2:4" x14ac:dyDescent="0.3">
      <c r="B24" s="45" t="s">
        <v>62</v>
      </c>
      <c r="C24" s="46">
        <f>SUM(Jan:Dec!N14:N14)</f>
        <v>24380</v>
      </c>
      <c r="D24" s="47">
        <f t="shared" si="0"/>
        <v>4.0463319950673919E-2</v>
      </c>
    </row>
    <row r="25" spans="2:4" x14ac:dyDescent="0.3">
      <c r="B25" s="48" t="s">
        <v>66</v>
      </c>
      <c r="C25" s="49">
        <f>SUM(Jan:Dec!N15:N15)</f>
        <v>46890</v>
      </c>
      <c r="D25" s="50">
        <f t="shared" si="0"/>
        <v>7.7823013637698932E-2</v>
      </c>
    </row>
    <row r="26" spans="2:4" x14ac:dyDescent="0.3">
      <c r="B26" s="45" t="s">
        <v>70</v>
      </c>
      <c r="C26" s="46">
        <f>SUM(Jan:Dec!N16:N16)</f>
        <v>12220</v>
      </c>
      <c r="D26" s="47">
        <f t="shared" si="0"/>
        <v>2.028145077101047E-2</v>
      </c>
    </row>
    <row r="27" spans="2:4" x14ac:dyDescent="0.3">
      <c r="B27" s="48" t="s">
        <v>74</v>
      </c>
      <c r="C27" s="49">
        <f>SUM(Jan:Dec!N17:N17)</f>
        <v>9744</v>
      </c>
      <c r="D27" s="50">
        <f t="shared" si="0"/>
        <v>1.617205043475663E-2</v>
      </c>
    </row>
    <row r="28" spans="2:4" x14ac:dyDescent="0.3">
      <c r="B28" s="45" t="s">
        <v>78</v>
      </c>
      <c r="C28" s="46">
        <f>SUM(Jan:Dec!N18:N18)</f>
        <v>12140</v>
      </c>
      <c r="D28" s="47">
        <f t="shared" si="0"/>
        <v>2.0148675315881107E-2</v>
      </c>
    </row>
    <row r="29" spans="2:4" x14ac:dyDescent="0.3">
      <c r="B29" s="48" t="s">
        <v>82</v>
      </c>
      <c r="C29" s="49">
        <f>SUM(Jan:Dec!N19:N19)</f>
        <v>0</v>
      </c>
      <c r="D29" s="50">
        <f t="shared" si="0"/>
        <v>0</v>
      </c>
    </row>
    <row r="30" spans="2:4" x14ac:dyDescent="0.3">
      <c r="B30" s="45" t="s">
        <v>86</v>
      </c>
      <c r="C30" s="46">
        <f>SUM(Jan:Dec!N20:N20)</f>
        <v>33725</v>
      </c>
      <c r="D30" s="47">
        <f t="shared" si="0"/>
        <v>5.5973152802972839E-2</v>
      </c>
    </row>
    <row r="31" spans="2:4" x14ac:dyDescent="0.3">
      <c r="B31" s="48" t="s">
        <v>88</v>
      </c>
      <c r="C31" s="49">
        <f>SUM(Jan:Dec!N21:N21)</f>
        <v>9996</v>
      </c>
      <c r="D31" s="50">
        <f t="shared" si="0"/>
        <v>1.6590293118414132E-2</v>
      </c>
    </row>
    <row r="32" spans="2:4" x14ac:dyDescent="0.3">
      <c r="B32" s="45" t="s">
        <v>89</v>
      </c>
      <c r="C32" s="46">
        <f>SUM(Jan:Dec!N22:N22)</f>
        <v>8540</v>
      </c>
      <c r="D32" s="47">
        <f t="shared" si="0"/>
        <v>1.4173779835059691E-2</v>
      </c>
    </row>
    <row r="33" spans="1:6" x14ac:dyDescent="0.3">
      <c r="B33" s="48" t="s">
        <v>90</v>
      </c>
      <c r="C33" s="49">
        <f>SUM(Jan:Dec!N23:N23)</f>
        <v>0</v>
      </c>
      <c r="D33" s="50">
        <f t="shared" si="0"/>
        <v>0</v>
      </c>
    </row>
    <row r="34" spans="1:6" x14ac:dyDescent="0.3">
      <c r="B34" s="51" t="s">
        <v>84</v>
      </c>
      <c r="C34" s="52">
        <f>SUM(C12:C33)</f>
        <v>602521</v>
      </c>
      <c r="D34" s="53">
        <v>1</v>
      </c>
    </row>
    <row r="36" spans="1:6" ht="15.6" x14ac:dyDescent="0.3">
      <c r="B36" s="123" t="s">
        <v>148</v>
      </c>
      <c r="C36" s="123"/>
      <c r="D36" s="123"/>
      <c r="E36" s="123"/>
      <c r="F36" s="123"/>
    </row>
    <row r="37" spans="1:6" x14ac:dyDescent="0.3">
      <c r="B37" s="42" t="s">
        <v>149</v>
      </c>
      <c r="C37" s="43" t="s">
        <v>150</v>
      </c>
      <c r="D37" s="43" t="s">
        <v>151</v>
      </c>
      <c r="E37" s="43" t="s">
        <v>152</v>
      </c>
      <c r="F37" s="44" t="s">
        <v>153</v>
      </c>
    </row>
    <row r="38" spans="1:6" x14ac:dyDescent="0.3">
      <c r="A38" s="54" t="s">
        <v>154</v>
      </c>
      <c r="B38" s="55" t="s">
        <v>155</v>
      </c>
      <c r="C38" s="56">
        <f>Jan!G28</f>
        <v>72200</v>
      </c>
      <c r="D38" s="56">
        <f>Jan!G31</f>
        <v>47074</v>
      </c>
      <c r="E38" s="56">
        <f>Jan!G32</f>
        <v>18975</v>
      </c>
      <c r="F38" s="57">
        <f>Jan!G33</f>
        <v>6151</v>
      </c>
    </row>
    <row r="39" spans="1:6" x14ac:dyDescent="0.3">
      <c r="A39" s="54" t="s">
        <v>156</v>
      </c>
      <c r="B39" s="58" t="s">
        <v>157</v>
      </c>
      <c r="C39" s="59">
        <f>Feb!G28</f>
        <v>72200</v>
      </c>
      <c r="D39" s="59">
        <f>Feb!G31</f>
        <v>47267</v>
      </c>
      <c r="E39" s="59">
        <f>Feb!G32</f>
        <v>16535</v>
      </c>
      <c r="F39" s="60">
        <f>Feb!G33</f>
        <v>8398</v>
      </c>
    </row>
    <row r="40" spans="1:6" x14ac:dyDescent="0.3">
      <c r="A40" s="54" t="s">
        <v>158</v>
      </c>
      <c r="B40" s="55" t="s">
        <v>159</v>
      </c>
      <c r="C40" s="56">
        <f>Mar!G28</f>
        <v>72200</v>
      </c>
      <c r="D40" s="56">
        <f>Mar!G31</f>
        <v>46944</v>
      </c>
      <c r="E40" s="56">
        <f>Mar!G32</f>
        <v>16590</v>
      </c>
      <c r="F40" s="57">
        <f>Mar!G33</f>
        <v>8666</v>
      </c>
    </row>
    <row r="41" spans="1:6" x14ac:dyDescent="0.3">
      <c r="A41" s="54" t="s">
        <v>160</v>
      </c>
      <c r="B41" s="58" t="s">
        <v>161</v>
      </c>
      <c r="C41" s="59">
        <f>Apr!G28</f>
        <v>74200</v>
      </c>
      <c r="D41" s="59">
        <f>Apr!G31</f>
        <v>47821</v>
      </c>
      <c r="E41" s="59">
        <f>Apr!G32</f>
        <v>17325</v>
      </c>
      <c r="F41" s="60">
        <f>Apr!G33</f>
        <v>9054</v>
      </c>
    </row>
    <row r="42" spans="1:6" x14ac:dyDescent="0.3">
      <c r="A42" s="54" t="s">
        <v>162</v>
      </c>
      <c r="B42" s="55" t="s">
        <v>163</v>
      </c>
      <c r="C42" s="56">
        <f>May!G28</f>
        <v>74200</v>
      </c>
      <c r="D42" s="56">
        <f>May!G31</f>
        <v>55125</v>
      </c>
      <c r="E42" s="56">
        <f>May!G32</f>
        <v>16535</v>
      </c>
      <c r="F42" s="57">
        <f>May!G33</f>
        <v>2540</v>
      </c>
    </row>
    <row r="43" spans="1:6" x14ac:dyDescent="0.3">
      <c r="A43" s="54" t="s">
        <v>164</v>
      </c>
      <c r="B43" s="58" t="s">
        <v>165</v>
      </c>
      <c r="C43" s="59">
        <f>Jun!G28</f>
        <v>74200</v>
      </c>
      <c r="D43" s="59">
        <f>Jun!G31</f>
        <v>47893</v>
      </c>
      <c r="E43" s="59">
        <f>Jun!G32</f>
        <v>16507</v>
      </c>
      <c r="F43" s="60">
        <f>Jun!G33</f>
        <v>9800</v>
      </c>
    </row>
    <row r="44" spans="1:6" x14ac:dyDescent="0.3">
      <c r="A44" s="54" t="s">
        <v>166</v>
      </c>
      <c r="B44" s="55" t="s">
        <v>167</v>
      </c>
      <c r="C44" s="56">
        <f>Jul!G28</f>
        <v>86200</v>
      </c>
      <c r="D44" s="56">
        <f>Jul!G31</f>
        <v>47550</v>
      </c>
      <c r="E44" s="56">
        <f>Jul!G32</f>
        <v>18150</v>
      </c>
      <c r="F44" s="57">
        <f>Jul!G33</f>
        <v>20500</v>
      </c>
    </row>
    <row r="45" spans="1:6" x14ac:dyDescent="0.3">
      <c r="A45" s="54" t="s">
        <v>168</v>
      </c>
      <c r="B45" s="58" t="s">
        <v>169</v>
      </c>
      <c r="C45" s="59">
        <f>Aug!G28</f>
        <v>76200</v>
      </c>
      <c r="D45" s="59">
        <f>Aug!G31</f>
        <v>47737</v>
      </c>
      <c r="E45" s="59">
        <f>Aug!G32</f>
        <v>16507</v>
      </c>
      <c r="F45" s="60">
        <f>Aug!G33</f>
        <v>11956</v>
      </c>
    </row>
    <row r="46" spans="1:6" x14ac:dyDescent="0.3">
      <c r="A46" s="54" t="s">
        <v>170</v>
      </c>
      <c r="B46" s="55" t="s">
        <v>171</v>
      </c>
      <c r="C46" s="56">
        <f>Sep!G28</f>
        <v>76200</v>
      </c>
      <c r="D46" s="56">
        <f>Sep!G31</f>
        <v>47010</v>
      </c>
      <c r="E46" s="56">
        <f>Sep!G32</f>
        <v>16397</v>
      </c>
      <c r="F46" s="57">
        <f>Sep!G33</f>
        <v>12793</v>
      </c>
    </row>
    <row r="47" spans="1:6" x14ac:dyDescent="0.3">
      <c r="A47" s="54" t="s">
        <v>172</v>
      </c>
      <c r="B47" s="58" t="s">
        <v>173</v>
      </c>
      <c r="C47" s="59">
        <f>Oct!G28</f>
        <v>83200</v>
      </c>
      <c r="D47" s="59">
        <f>Oct!G31</f>
        <v>61539</v>
      </c>
      <c r="E47" s="59">
        <f>Oct!G32</f>
        <v>9075</v>
      </c>
      <c r="F47" s="60">
        <f>Oct!G33</f>
        <v>12586</v>
      </c>
    </row>
    <row r="48" spans="1:6" x14ac:dyDescent="0.3">
      <c r="A48" s="54" t="s">
        <v>174</v>
      </c>
      <c r="B48" s="55" t="s">
        <v>175</v>
      </c>
      <c r="C48" s="56">
        <f>Nov!G28</f>
        <v>78200</v>
      </c>
      <c r="D48" s="56">
        <f>Nov!G31</f>
        <v>51486</v>
      </c>
      <c r="E48" s="56">
        <f>Nov!G32</f>
        <v>13200</v>
      </c>
      <c r="F48" s="57">
        <f>Nov!G33</f>
        <v>13514</v>
      </c>
    </row>
    <row r="49" spans="1:6" x14ac:dyDescent="0.3">
      <c r="A49" s="54" t="s">
        <v>176</v>
      </c>
      <c r="B49" s="58" t="s">
        <v>177</v>
      </c>
      <c r="C49" s="59">
        <f>Dec!G28</f>
        <v>93200</v>
      </c>
      <c r="D49" s="59">
        <f>Dec!G31</f>
        <v>55075</v>
      </c>
      <c r="E49" s="59">
        <f>Dec!G32</f>
        <v>16590</v>
      </c>
      <c r="F49" s="60">
        <f>Dec!G33</f>
        <v>21535</v>
      </c>
    </row>
    <row r="50" spans="1:6" x14ac:dyDescent="0.3">
      <c r="B50" s="61" t="s">
        <v>178</v>
      </c>
      <c r="C50" s="62">
        <f>AVERAGE(C38:C49)</f>
        <v>77700</v>
      </c>
      <c r="D50" s="62">
        <f>AVERAGE(D38:D49)</f>
        <v>50210.083333333336</v>
      </c>
      <c r="E50" s="62">
        <f>AVERAGE(E38:E49)</f>
        <v>16032.166666666666</v>
      </c>
      <c r="F50" s="63">
        <f>AVERAGE(F38:F49)</f>
        <v>11457.75</v>
      </c>
    </row>
    <row r="52" spans="1:6" x14ac:dyDescent="0.3">
      <c r="B52" s="124" t="s">
        <v>179</v>
      </c>
      <c r="C52" s="124"/>
      <c r="D52" s="124"/>
      <c r="E52" s="124"/>
      <c r="F52" s="124"/>
    </row>
    <row r="53" spans="1:6" x14ac:dyDescent="0.3">
      <c r="B53" s="64" t="s">
        <v>180</v>
      </c>
      <c r="C53" s="65"/>
      <c r="D53" s="66" t="s">
        <v>154</v>
      </c>
      <c r="E53" s="65"/>
      <c r="F53" s="67"/>
    </row>
    <row r="54" spans="1:6" x14ac:dyDescent="0.3">
      <c r="B54" s="68" t="s">
        <v>181</v>
      </c>
      <c r="C54" s="65"/>
      <c r="D54" s="69">
        <f>INDEX(C38:C49,MATCH($D$53,$A$38:$A$49,0))</f>
        <v>72200</v>
      </c>
      <c r="E54" s="65"/>
      <c r="F54" s="67"/>
    </row>
    <row r="55" spans="1:6" x14ac:dyDescent="0.3">
      <c r="B55" s="70" t="s">
        <v>182</v>
      </c>
      <c r="C55" s="65"/>
      <c r="D55" s="71">
        <f>INDEX(D38:D49,MATCH($D$53,$A$38:$A$49,0))</f>
        <v>47074</v>
      </c>
      <c r="E55" s="65"/>
      <c r="F55" s="67"/>
    </row>
    <row r="56" spans="1:6" x14ac:dyDescent="0.3">
      <c r="B56" s="68" t="s">
        <v>183</v>
      </c>
      <c r="C56" s="65"/>
      <c r="D56" s="69">
        <f>INDEX(E38:E49,MATCH($D$53,$A$38:$A$49,0))</f>
        <v>18975</v>
      </c>
      <c r="E56" s="65"/>
      <c r="F56" s="67"/>
    </row>
    <row r="57" spans="1:6" x14ac:dyDescent="0.3">
      <c r="B57" s="72" t="s">
        <v>184</v>
      </c>
      <c r="C57" s="73"/>
      <c r="D57" s="74">
        <f>INDEX(F38:F49,MATCH($D$53,$A$38:$A$49,0))</f>
        <v>6151</v>
      </c>
      <c r="E57" s="73"/>
      <c r="F57" s="75"/>
    </row>
    <row r="77" spans="2:21" ht="17.399999999999999" x14ac:dyDescent="0.3">
      <c r="B77" s="125" t="s">
        <v>185</v>
      </c>
      <c r="C77" s="125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</row>
    <row r="78" spans="2:21" x14ac:dyDescent="0.3">
      <c r="B78" s="126" t="s">
        <v>186</v>
      </c>
      <c r="C78" s="126"/>
      <c r="D78" s="126"/>
      <c r="E78" s="126"/>
      <c r="F78" s="126"/>
      <c r="G78" s="126" t="s">
        <v>187</v>
      </c>
      <c r="H78" s="126"/>
      <c r="I78" s="126"/>
      <c r="J78" s="126"/>
      <c r="K78" s="126"/>
      <c r="L78" s="126" t="s">
        <v>188</v>
      </c>
      <c r="M78" s="126"/>
      <c r="N78" s="126"/>
      <c r="O78" s="126"/>
      <c r="P78" s="126"/>
      <c r="Q78" s="126" t="s">
        <v>189</v>
      </c>
      <c r="R78" s="126"/>
      <c r="S78" s="126"/>
      <c r="T78" s="126"/>
    </row>
    <row r="79" spans="2:21" x14ac:dyDescent="0.3">
      <c r="B79" s="121" t="str">
        <f>INDEX($B$38:$B$49,MATCH(MAX($C$38:$C$49),$C$38:$C$49,0))</f>
        <v>🎄 December</v>
      </c>
      <c r="C79" s="121"/>
      <c r="D79" s="121"/>
      <c r="E79" s="121"/>
      <c r="F79" s="121"/>
      <c r="G79" s="121" t="str">
        <f>INDEX($B$38:$B$49,MATCH(MAX($D$38:$D$49),$D$38:$D$49,0))</f>
        <v>🎆 October</v>
      </c>
      <c r="H79" s="121"/>
      <c r="I79" s="121"/>
      <c r="J79" s="121"/>
      <c r="K79" s="121"/>
      <c r="L79" s="121" t="str">
        <f>INDEX($B$38:$B$49,MATCH(MAX($E$38:$E$49),$E$38:$E$49,0))</f>
        <v>❄️ January</v>
      </c>
      <c r="M79" s="121"/>
      <c r="N79" s="121"/>
      <c r="O79" s="121"/>
      <c r="P79" s="121"/>
      <c r="Q79" s="122">
        <f>AVERAGE($F$38:$F$49)</f>
        <v>11457.75</v>
      </c>
      <c r="R79" s="122"/>
      <c r="S79" s="122"/>
      <c r="T79" s="122"/>
    </row>
    <row r="80" spans="2:21" x14ac:dyDescent="0.3"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2"/>
      <c r="R80" s="122"/>
      <c r="S80" s="122"/>
      <c r="T80" s="122"/>
    </row>
    <row r="82" spans="2:21" x14ac:dyDescent="0.3">
      <c r="B82" s="95" t="s">
        <v>190</v>
      </c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</row>
    <row r="83" spans="2:21" x14ac:dyDescent="0.3">
      <c r="B83" s="96" t="s">
        <v>103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</row>
  </sheetData>
  <mergeCells count="26">
    <mergeCell ref="B1:F1"/>
    <mergeCell ref="G1:U1"/>
    <mergeCell ref="B2:U2"/>
    <mergeCell ref="B3:U3"/>
    <mergeCell ref="B5:F6"/>
    <mergeCell ref="G5:K6"/>
    <mergeCell ref="L5:P6"/>
    <mergeCell ref="Q5:T6"/>
    <mergeCell ref="B7:F8"/>
    <mergeCell ref="G7:K8"/>
    <mergeCell ref="L7:P8"/>
    <mergeCell ref="Q7:T8"/>
    <mergeCell ref="B10:D10"/>
    <mergeCell ref="B36:F36"/>
    <mergeCell ref="B52:F52"/>
    <mergeCell ref="B77:U77"/>
    <mergeCell ref="B78:F78"/>
    <mergeCell ref="G78:K78"/>
    <mergeCell ref="L78:P78"/>
    <mergeCell ref="Q78:T78"/>
    <mergeCell ref="B83:U83"/>
    <mergeCell ref="B79:F80"/>
    <mergeCell ref="G79:K80"/>
    <mergeCell ref="L79:P80"/>
    <mergeCell ref="Q79:T80"/>
    <mergeCell ref="B82:U82"/>
  </mergeCells>
  <conditionalFormatting sqref="D12:D33">
    <cfRule type="dataBar" priority="2">
      <dataBar>
        <cfvo type="num" val="0"/>
        <cfvo type="num" val="1.2"/>
        <color rgb="FFBFDDF3"/>
      </dataBar>
      <extLst>
        <ext xmlns:x14="http://schemas.microsoft.com/office/spreadsheetml/2009/9/main" uri="{B025F937-C7B1-47D3-B67F-A62EFF666E3E}">
          <x14:id>{78402219-A4EE-4E1B-9C38-C051D3109447}</x14:id>
        </ext>
      </extLst>
    </cfRule>
  </conditionalFormatting>
  <conditionalFormatting sqref="F38:F49">
    <cfRule type="expression" dxfId="0" priority="3">
      <formula>F38&lt;0</formula>
    </cfRule>
  </conditionalFormatting>
  <dataValidations count="1">
    <dataValidation type="list" sqref="D53" xr:uid="{00000000-0002-0000-0D00-000000000000}">
      <formula1>"Jan,Feb,Mar,Apr,May,Jun,Jul,Aug,Sep,Oct,Nov,Dec"</formula1>
      <formula2>0</formula2>
    </dataValidation>
  </dataValidations>
  <hyperlinks>
    <hyperlink ref="B1" r:id="rId1" location="'Cover'!A1" xr:uid="{00000000-0004-0000-0D00-000000000000}"/>
  </hyperlinks>
  <pageMargins left="0.75" right="0.75" top="1" bottom="1" header="0.511811023622047" footer="0.511811023622047"/>
  <pageSetup fitToHeight="0" orientation="landscape" horizontalDpi="300" verticalDpi="30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402219-A4EE-4E1B-9C38-C051D3109447}">
            <x14:dataBar axisPosition="none">
              <x14:cfvo type="num">
                <xm:f>0</xm:f>
              </x14:cfvo>
              <x14:cfvo type="num">
                <xm:f>1.2</xm:f>
              </x14:cfvo>
              <x14:negativeFillColor rgb="FFBFDDF3"/>
            </x14:dataBar>
          </x14:cfRule>
          <xm:sqref>D12:D33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Govekar</cp:lastModifiedBy>
  <cp:revision>1</cp:revision>
  <dcterms:created xsi:type="dcterms:W3CDTF">2026-06-21T13:04:01Z</dcterms:created>
  <dcterms:modified xsi:type="dcterms:W3CDTF">2026-06-21T19:16:44Z</dcterms:modified>
  <dc:language>en-US</dc:language>
</cp:coreProperties>
</file>