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ubh\Desktop\Learning ABC\Claude\"/>
    </mc:Choice>
  </mc:AlternateContent>
  <xr:revisionPtr revIDLastSave="0" documentId="13_ncr:1_{1AEB374A-5A7D-4A7C-BE46-08BBE7D8D09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1" sheetId="2" r:id="rId1"/>
    <sheet name="Budget Tracker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1" l="1"/>
  <c r="S43" i="1"/>
  <c r="R43" i="1"/>
  <c r="Q43" i="1"/>
  <c r="V16" i="1" s="1"/>
  <c r="S42" i="1"/>
  <c r="M42" i="1"/>
  <c r="N42" i="1" s="1"/>
  <c r="L42" i="1"/>
  <c r="V6" i="1" s="1"/>
  <c r="D42" i="1"/>
  <c r="D19" i="1" s="1"/>
  <c r="C42" i="1"/>
  <c r="F3" i="1" s="1"/>
  <c r="S41" i="1"/>
  <c r="N41" i="1"/>
  <c r="S40" i="1"/>
  <c r="N40" i="1"/>
  <c r="S39" i="1"/>
  <c r="N39" i="1"/>
  <c r="S38" i="1"/>
  <c r="N38" i="1"/>
  <c r="S37" i="1"/>
  <c r="N37" i="1"/>
  <c r="I37" i="1"/>
  <c r="H37" i="1"/>
  <c r="W7" i="1" s="1"/>
  <c r="G37" i="1"/>
  <c r="V14" i="1" s="1"/>
  <c r="S36" i="1"/>
  <c r="N36" i="1"/>
  <c r="I36" i="1"/>
  <c r="S35" i="1"/>
  <c r="N35" i="1"/>
  <c r="I35" i="1"/>
  <c r="N34" i="1"/>
  <c r="I34" i="1"/>
  <c r="N33" i="1"/>
  <c r="I33" i="1"/>
  <c r="S32" i="1"/>
  <c r="R32" i="1"/>
  <c r="Q32" i="1"/>
  <c r="N32" i="1"/>
  <c r="I32" i="1"/>
  <c r="S31" i="1"/>
  <c r="N31" i="1"/>
  <c r="I31" i="1"/>
  <c r="S30" i="1"/>
  <c r="N30" i="1"/>
  <c r="I30" i="1"/>
  <c r="S29" i="1"/>
  <c r="N29" i="1"/>
  <c r="I29" i="1"/>
  <c r="S28" i="1"/>
  <c r="N28" i="1"/>
  <c r="I28" i="1"/>
  <c r="S27" i="1"/>
  <c r="N27" i="1"/>
  <c r="I27" i="1"/>
  <c r="S26" i="1"/>
  <c r="N26" i="1"/>
  <c r="I26" i="1"/>
  <c r="S25" i="1"/>
  <c r="N25" i="1"/>
  <c r="I25" i="1"/>
  <c r="S24" i="1"/>
  <c r="N24" i="1"/>
  <c r="I24" i="1"/>
  <c r="S23" i="1"/>
  <c r="N23" i="1"/>
  <c r="I23" i="1"/>
  <c r="C19" i="1"/>
  <c r="D18" i="1"/>
  <c r="C18" i="1"/>
  <c r="D17" i="1"/>
  <c r="C17" i="1"/>
  <c r="C16" i="1"/>
  <c r="V15" i="1"/>
  <c r="D15" i="1"/>
  <c r="C15" i="1"/>
  <c r="C14" i="1"/>
  <c r="V13" i="1"/>
  <c r="W9" i="1"/>
  <c r="W8" i="1"/>
  <c r="V8" i="1"/>
  <c r="V7" i="1"/>
  <c r="W6" i="1"/>
  <c r="W5" i="1"/>
  <c r="V5" i="1"/>
  <c r="P3" i="1"/>
  <c r="M3" i="1"/>
  <c r="K3" i="1"/>
  <c r="D16" i="1" l="1"/>
  <c r="H3" i="1"/>
  <c r="V9" i="1"/>
  <c r="F10" i="1"/>
</calcChain>
</file>

<file path=xl/sharedStrings.xml><?xml version="1.0" encoding="utf-8"?>
<sst xmlns="http://schemas.openxmlformats.org/spreadsheetml/2006/main" count="132" uniqueCount="106">
  <si>
    <t>- BUDGET TRACKER -</t>
  </si>
  <si>
    <t>INCOME</t>
  </si>
  <si>
    <t>EXPENSES</t>
  </si>
  <si>
    <t>BILLS</t>
  </si>
  <si>
    <t>SAVINGS</t>
  </si>
  <si>
    <t>DEBT</t>
  </si>
  <si>
    <t>Category</t>
  </si>
  <si>
    <t>Planned</t>
  </si>
  <si>
    <t>Actual</t>
  </si>
  <si>
    <t>Income</t>
  </si>
  <si>
    <t>Expenses</t>
  </si>
  <si>
    <t>BUDGET PERIOD</t>
  </si>
  <si>
    <t>AMOUNT LEFT TO SPEND</t>
  </si>
  <si>
    <t>Bills</t>
  </si>
  <si>
    <t>–</t>
  </si>
  <si>
    <t>31 Oct 2025</t>
  </si>
  <si>
    <t>Savings</t>
  </si>
  <si>
    <t>CURRENCY</t>
  </si>
  <si>
    <t>₹  Indian Rupee (INR)</t>
  </si>
  <si>
    <t>Debt</t>
  </si>
  <si>
    <t>◈  FINANCIAL OVERVIEW</t>
  </si>
  <si>
    <t>PLANNED</t>
  </si>
  <si>
    <t>ACTUAL</t>
  </si>
  <si>
    <t>Allocation</t>
  </si>
  <si>
    <t>Amount</t>
  </si>
  <si>
    <t>↩  Rollover</t>
  </si>
  <si>
    <t>↑  Income</t>
  </si>
  <si>
    <t>↓  Expenses</t>
  </si>
  <si>
    <t>🏦  Bills</t>
  </si>
  <si>
    <t>💰  Savings</t>
  </si>
  <si>
    <t>💳  Debt</t>
  </si>
  <si>
    <t>⬤  LEFT</t>
  </si>
  <si>
    <t>← Remaining after all deductions</t>
  </si>
  <si>
    <t>PROGRESS</t>
  </si>
  <si>
    <t>Salary / Fixed Pay</t>
  </si>
  <si>
    <t>Apartment / Rent</t>
  </si>
  <si>
    <t>Groceries</t>
  </si>
  <si>
    <t>Retirement / NPS</t>
  </si>
  <si>
    <t>Freelance Income</t>
  </si>
  <si>
    <t>Internet</t>
  </si>
  <si>
    <t>Eating Out / Dining</t>
  </si>
  <si>
    <t>Emergency Fund</t>
  </si>
  <si>
    <t>Creator Revenue</t>
  </si>
  <si>
    <t>Electricity</t>
  </si>
  <si>
    <t>Shopping / Clothing</t>
  </si>
  <si>
    <t>Vacation / Travel</t>
  </si>
  <si>
    <t>YouTube / Ad Revenue</t>
  </si>
  <si>
    <t>Water</t>
  </si>
  <si>
    <t>Business Expenses</t>
  </si>
  <si>
    <t>Savings Account</t>
  </si>
  <si>
    <t>Brand Deal</t>
  </si>
  <si>
    <t>Netflix / OTT</t>
  </si>
  <si>
    <t>Haircuts / Personal Care</t>
  </si>
  <si>
    <t>Mutual Fund / SIP</t>
  </si>
  <si>
    <t>Affiliate Income</t>
  </si>
  <si>
    <t>Gym Membership</t>
  </si>
  <si>
    <t>Transport / Fuel</t>
  </si>
  <si>
    <t>PPF / ELSS</t>
  </si>
  <si>
    <t>Digital Products</t>
  </si>
  <si>
    <t>Car Insurance</t>
  </si>
  <si>
    <t>Entertainment</t>
  </si>
  <si>
    <t>Fixed Deposit</t>
  </si>
  <si>
    <t>Consulting</t>
  </si>
  <si>
    <t>Mobile Bill</t>
  </si>
  <si>
    <t>Medical / Health</t>
  </si>
  <si>
    <t>Gold / Stocks</t>
  </si>
  <si>
    <t>Agency Revenue</t>
  </si>
  <si>
    <t>Life Insurance</t>
  </si>
  <si>
    <t>Education / Courses</t>
  </si>
  <si>
    <t>Other Savings</t>
  </si>
  <si>
    <t>Rental Income</t>
  </si>
  <si>
    <t>Home Loan EMI</t>
  </si>
  <si>
    <t>Kids / Family</t>
  </si>
  <si>
    <t xml:space="preserve">  TOTAL</t>
  </si>
  <si>
    <t>Dividend Income</t>
  </si>
  <si>
    <t>Credit Card Bill</t>
  </si>
  <si>
    <t>Travel / Vacation</t>
  </si>
  <si>
    <t>Business Revenue</t>
  </si>
  <si>
    <t>Other Bill 1</t>
  </si>
  <si>
    <t>Gifts &amp; Donations</t>
  </si>
  <si>
    <t>Part-Time Income</t>
  </si>
  <si>
    <t>Other Bill 2</t>
  </si>
  <si>
    <t>Subscriptions</t>
  </si>
  <si>
    <t>Car Loan EMI</t>
  </si>
  <si>
    <t>Other Income 1</t>
  </si>
  <si>
    <t>Other Bill 3</t>
  </si>
  <si>
    <t>Household Items</t>
  </si>
  <si>
    <t>Credit Card</t>
  </si>
  <si>
    <t>Other Income 2</t>
  </si>
  <si>
    <t>Miscellaneous</t>
  </si>
  <si>
    <t>Business Loan</t>
  </si>
  <si>
    <t>Other Income 3</t>
  </si>
  <si>
    <t>Other Expense 1</t>
  </si>
  <si>
    <t>Home Loan</t>
  </si>
  <si>
    <t>Other Income 4</t>
  </si>
  <si>
    <t>Other Expense 2</t>
  </si>
  <si>
    <t>Personal Loan</t>
  </si>
  <si>
    <t>Other Income 5</t>
  </si>
  <si>
    <t>Other Expense 3</t>
  </si>
  <si>
    <t>Education Loan</t>
  </si>
  <si>
    <t>Other Income 6</t>
  </si>
  <si>
    <t>Other Expense 4</t>
  </si>
  <si>
    <t>Other Debt 1</t>
  </si>
  <si>
    <t>Other Debt 2</t>
  </si>
  <si>
    <t>💡  TIP: Blue cells are editable inputs. All other cells auto-calculate. Use Planned vs Actual to track your budget performance.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</si>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</sst>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6" x14ac:knownFonts="1">
    <font>
      <sz val="11"/>
      <color theme="1"/>
      <name val="Calibri"/>
      <family val="2"/>
      <charset val="1"/>
    </font>
    <font>
      <b/>
      <sz val="26"/>
      <color rgb="FF2D2B55"/>
      <name val="Calibri"/>
      <family val="2"/>
    </font>
    <font>
      <i/>
      <sz val="8"/>
      <color rgb="FF9896AA"/>
      <name val="Calibri"/>
      <family val="2"/>
    </font>
    <font>
      <b/>
      <sz val="8"/>
      <color rgb="FFFFFFFF"/>
      <name val="Calibri"/>
      <family val="2"/>
    </font>
    <font>
      <b/>
      <sz val="14"/>
      <color rgb="FF2D2B55"/>
      <name val="Calibri"/>
      <family val="2"/>
    </font>
    <font>
      <b/>
      <sz val="7"/>
      <color rgb="FFFFFFFF"/>
      <name val="Calibri"/>
      <family val="2"/>
    </font>
    <font>
      <b/>
      <sz val="8"/>
      <color rgb="FF2D2B55"/>
      <name val="Calibri"/>
      <family val="2"/>
    </font>
    <font>
      <sz val="8"/>
      <color rgb="FF2D2B55"/>
      <name val="Calibri"/>
      <family val="2"/>
    </font>
    <font>
      <b/>
      <sz val="8"/>
      <color rgb="FF6B5CE7"/>
      <name val="Calibri"/>
      <family val="2"/>
    </font>
    <font>
      <b/>
      <sz val="22"/>
      <color rgb="FF2D2B55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4472C4"/>
      <name val="Calibri"/>
      <family val="2"/>
    </font>
    <font>
      <b/>
      <sz val="8"/>
      <color rgb="FF27AE60"/>
      <name val="Calibri"/>
      <family val="2"/>
    </font>
    <font>
      <sz val="9"/>
      <color rgb="FF6B5CE7"/>
      <name val="Calibri"/>
      <family val="2"/>
    </font>
    <font>
      <i/>
      <sz val="8"/>
      <color rgb="FFB8860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5F3FF"/>
        <bgColor rgb="FFFFF0F8"/>
      </patternFill>
    </fill>
    <fill>
      <patternFill patternType="solid">
        <fgColor rgb="FFFFFFFF"/>
        <bgColor rgb="FFFFF8E7"/>
      </patternFill>
    </fill>
    <fill>
      <patternFill patternType="solid">
        <fgColor rgb="FF9B8FF5"/>
        <bgColor rgb="FF9896AA"/>
      </patternFill>
    </fill>
    <fill>
      <patternFill patternType="solid">
        <fgColor rgb="FFEDE9FF"/>
        <bgColor rgb="FFE8E4FF"/>
      </patternFill>
    </fill>
    <fill>
      <patternFill patternType="solid">
        <fgColor rgb="FF7B6BD8"/>
        <bgColor rgb="FF6B5CE7"/>
      </patternFill>
    </fill>
    <fill>
      <patternFill patternType="solid">
        <fgColor rgb="FFC9C1FF"/>
        <bgColor rgb="FFC5BEFF"/>
      </patternFill>
    </fill>
    <fill>
      <patternFill patternType="solid">
        <fgColor rgb="FFFFF0F8"/>
        <bgColor rgb="FFF5F3FF"/>
      </patternFill>
    </fill>
    <fill>
      <patternFill patternType="solid">
        <fgColor rgb="FFFFF8E7"/>
        <bgColor rgb="FFFFF0F8"/>
      </patternFill>
    </fill>
  </fills>
  <borders count="19">
    <border>
      <left/>
      <right/>
      <top/>
      <bottom/>
      <diagonal/>
    </border>
    <border>
      <left style="medium">
        <color rgb="FF9B8FF5"/>
      </left>
      <right/>
      <top style="medium">
        <color rgb="FF9B8FF5"/>
      </top>
      <bottom style="thin">
        <color rgb="FFDDD8FF"/>
      </bottom>
      <diagonal/>
    </border>
    <border>
      <left style="thin">
        <color rgb="FFDDD8FF"/>
      </left>
      <right/>
      <top style="medium">
        <color rgb="FF9B8FF5"/>
      </top>
      <bottom style="thin">
        <color rgb="FFDDD8FF"/>
      </bottom>
      <diagonal/>
    </border>
    <border>
      <left style="thin">
        <color rgb="FFDDD8FF"/>
      </left>
      <right style="thin">
        <color rgb="FFDDD8FF"/>
      </right>
      <top style="medium">
        <color rgb="FF9B8FF5"/>
      </top>
      <bottom style="thin">
        <color rgb="FFDDD8FF"/>
      </bottom>
      <diagonal/>
    </border>
    <border>
      <left style="medium">
        <color rgb="FF9B8FF5"/>
      </left>
      <right/>
      <top style="thin">
        <color rgb="FFDDD8FF"/>
      </top>
      <bottom style="medium">
        <color rgb="FF9B8FF5"/>
      </bottom>
      <diagonal/>
    </border>
    <border>
      <left style="thin">
        <color rgb="FFDDD8FF"/>
      </left>
      <right/>
      <top style="thin">
        <color rgb="FFDDD8FF"/>
      </top>
      <bottom style="medium">
        <color rgb="FF9B8FF5"/>
      </bottom>
      <diagonal/>
    </border>
    <border>
      <left style="thin">
        <color rgb="FFDDD8FF"/>
      </left>
      <right style="thin">
        <color rgb="FFDDD8FF"/>
      </right>
      <top style="thin">
        <color rgb="FFDDD8FF"/>
      </top>
      <bottom style="medium">
        <color rgb="FF9B8FF5"/>
      </bottom>
      <diagonal/>
    </border>
    <border>
      <left style="thin">
        <color rgb="FF7B6BD8"/>
      </left>
      <right/>
      <top style="thin">
        <color rgb="FF7B6BD8"/>
      </top>
      <bottom style="thin">
        <color rgb="FF7B6BD8"/>
      </bottom>
      <diagonal/>
    </border>
    <border>
      <left style="thin">
        <color rgb="FFDDD8FF"/>
      </left>
      <right/>
      <top style="thin">
        <color rgb="FFDDD8FF"/>
      </top>
      <bottom/>
      <diagonal/>
    </border>
    <border>
      <left style="thin">
        <color rgb="FFDDD8FF"/>
      </left>
      <right style="thin">
        <color rgb="FFDDD8FF"/>
      </right>
      <top style="thin">
        <color rgb="FFDDD8FF"/>
      </top>
      <bottom style="thin">
        <color rgb="FFDDD8FF"/>
      </bottom>
      <diagonal/>
    </border>
    <border>
      <left style="thin">
        <color rgb="FF7B6BD8"/>
      </left>
      <right style="thin">
        <color rgb="FF7B6BD8"/>
      </right>
      <top style="thin">
        <color rgb="FF7B6BD8"/>
      </top>
      <bottom style="thin">
        <color rgb="FF7B6BD8"/>
      </bottom>
      <diagonal/>
    </border>
    <border>
      <left style="thin">
        <color rgb="FFDDD8FF"/>
      </left>
      <right/>
      <top style="thin">
        <color rgb="FFDDD8FF"/>
      </top>
      <bottom style="thin">
        <color rgb="FFDDD8FF"/>
      </bottom>
      <diagonal/>
    </border>
    <border>
      <left style="medium">
        <color rgb="FF7B6BD8"/>
      </left>
      <right/>
      <top style="medium">
        <color rgb="FF7B6BD8"/>
      </top>
      <bottom style="thin">
        <color rgb="FFDDD8FF"/>
      </bottom>
      <diagonal/>
    </border>
    <border>
      <left style="medium">
        <color rgb="FF7B6BD8"/>
      </left>
      <right style="thin">
        <color rgb="FFDDD8FF"/>
      </right>
      <top style="thin">
        <color rgb="FFDDD8FF"/>
      </top>
      <bottom style="thin">
        <color rgb="FFDDD8FF"/>
      </bottom>
      <diagonal/>
    </border>
    <border>
      <left style="thin">
        <color rgb="FFDDD8FF"/>
      </left>
      <right style="medium">
        <color rgb="FF7B6BD8"/>
      </right>
      <top style="thin">
        <color rgb="FFDDD8FF"/>
      </top>
      <bottom style="thin">
        <color rgb="FFDDD8FF"/>
      </bottom>
      <diagonal/>
    </border>
    <border>
      <left style="medium">
        <color rgb="FF7B6BD8"/>
      </left>
      <right style="thin">
        <color rgb="FFDDD8FF"/>
      </right>
      <top style="thin">
        <color rgb="FFDDD8FF"/>
      </top>
      <bottom style="medium">
        <color rgb="FF7B6BD8"/>
      </bottom>
      <diagonal/>
    </border>
    <border>
      <left style="thin">
        <color rgb="FFDDD8FF"/>
      </left>
      <right style="thin">
        <color rgb="FFDDD8FF"/>
      </right>
      <top style="thin">
        <color rgb="FFDDD8FF"/>
      </top>
      <bottom style="medium">
        <color rgb="FF7B6BD8"/>
      </bottom>
      <diagonal/>
    </border>
    <border>
      <left style="thin">
        <color rgb="FFDDD8FF"/>
      </left>
      <right style="medium">
        <color rgb="FF7B6BD8"/>
      </right>
      <top style="thin">
        <color rgb="FFDDD8FF"/>
      </top>
      <bottom style="medium">
        <color rgb="FF7B6BD8"/>
      </bottom>
      <diagonal/>
    </border>
    <border>
      <left style="thin">
        <color rgb="FFFFD700"/>
      </left>
      <right/>
      <top style="thin">
        <color rgb="FFFFD700"/>
      </top>
      <bottom style="thin">
        <color rgb="FFFFD7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0" fillId="2" borderId="3" xfId="0" applyFill="1" applyBorder="1" applyAlignment="1"/>
    <xf numFmtId="0" fontId="0" fillId="2" borderId="6" xfId="0" applyFill="1" applyBorder="1" applyAlignment="1"/>
    <xf numFmtId="164" fontId="0" fillId="0" borderId="0" xfId="0" applyNumberFormat="1" applyAlignment="1"/>
    <xf numFmtId="0" fontId="7" fillId="5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right" vertical="center"/>
    </xf>
    <xf numFmtId="0" fontId="7" fillId="3" borderId="14" xfId="0" applyFont="1" applyFill="1" applyBorder="1" applyAlignment="1">
      <alignment horizontal="right" vertical="center"/>
    </xf>
    <xf numFmtId="0" fontId="7" fillId="5" borderId="13" xfId="0" applyFont="1" applyFill="1" applyBorder="1" applyAlignment="1">
      <alignment horizontal="left" vertical="center"/>
    </xf>
    <xf numFmtId="164" fontId="7" fillId="5" borderId="9" xfId="0" applyNumberFormat="1" applyFont="1" applyFill="1" applyBorder="1" applyAlignment="1">
      <alignment horizontal="right" vertical="center"/>
    </xf>
    <xf numFmtId="164" fontId="7" fillId="5" borderId="14" xfId="0" applyNumberFormat="1" applyFont="1" applyFill="1" applyBorder="1" applyAlignment="1">
      <alignment horizontal="right" vertical="center"/>
    </xf>
    <xf numFmtId="164" fontId="7" fillId="3" borderId="9" xfId="0" applyNumberFormat="1" applyFont="1" applyFill="1" applyBorder="1" applyAlignment="1">
      <alignment horizontal="right" vertical="center"/>
    </xf>
    <xf numFmtId="164" fontId="7" fillId="3" borderId="14" xfId="0" applyNumberFormat="1" applyFont="1" applyFill="1" applyBorder="1" applyAlignment="1">
      <alignment horizontal="right" vertical="center"/>
    </xf>
    <xf numFmtId="0" fontId="10" fillId="6" borderId="15" xfId="0" applyFont="1" applyFill="1" applyBorder="1" applyAlignment="1">
      <alignment horizontal="left" vertical="center"/>
    </xf>
    <xf numFmtId="164" fontId="10" fillId="6" borderId="16" xfId="0" applyNumberFormat="1" applyFont="1" applyFill="1" applyBorder="1" applyAlignment="1">
      <alignment horizontal="right" vertical="center"/>
    </xf>
    <xf numFmtId="164" fontId="10" fillId="6" borderId="17" xfId="0" applyNumberFormat="1" applyFont="1" applyFill="1" applyBorder="1" applyAlignment="1">
      <alignment horizontal="right" vertical="center"/>
    </xf>
    <xf numFmtId="164" fontId="12" fillId="3" borderId="9" xfId="0" applyNumberFormat="1" applyFont="1" applyFill="1" applyBorder="1" applyAlignment="1">
      <alignment horizontal="right" vertical="center"/>
    </xf>
    <xf numFmtId="164" fontId="12" fillId="3" borderId="14" xfId="0" applyNumberFormat="1" applyFont="1" applyFill="1" applyBorder="1" applyAlignment="1">
      <alignment horizontal="right" vertical="center"/>
    </xf>
    <xf numFmtId="49" fontId="13" fillId="5" borderId="14" xfId="0" applyNumberFormat="1" applyFont="1" applyFill="1" applyBorder="1" applyAlignment="1">
      <alignment horizontal="center" vertical="center"/>
    </xf>
    <xf numFmtId="9" fontId="14" fillId="5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left" vertical="center"/>
    </xf>
    <xf numFmtId="49" fontId="13" fillId="8" borderId="14" xfId="0" applyNumberFormat="1" applyFont="1" applyFill="1" applyBorder="1" applyAlignment="1">
      <alignment horizontal="center" vertical="center"/>
    </xf>
    <xf numFmtId="9" fontId="14" fillId="8" borderId="14" xfId="0" applyNumberFormat="1" applyFont="1" applyFill="1" applyBorder="1" applyAlignment="1">
      <alignment horizontal="right" vertical="center"/>
    </xf>
    <xf numFmtId="9" fontId="10" fillId="6" borderId="17" xfId="0" applyNumberFormat="1" applyFont="1" applyFill="1" applyBorder="1" applyAlignment="1">
      <alignment horizontal="right" vertical="center"/>
    </xf>
    <xf numFmtId="0" fontId="10" fillId="6" borderId="13" xfId="0" applyFont="1" applyFill="1" applyBorder="1" applyAlignment="1">
      <alignment horizontal="left" vertical="center"/>
    </xf>
    <xf numFmtId="164" fontId="10" fillId="6" borderId="9" xfId="0" applyNumberFormat="1" applyFont="1" applyFill="1" applyBorder="1" applyAlignment="1">
      <alignment horizontal="right" vertical="center"/>
    </xf>
    <xf numFmtId="9" fontId="10" fillId="6" borderId="14" xfId="0" applyNumberFormat="1" applyFont="1" applyFill="1" applyBorder="1" applyAlignment="1">
      <alignment horizontal="right" vertical="center"/>
    </xf>
    <xf numFmtId="0" fontId="0" fillId="5" borderId="13" xfId="0" applyFill="1" applyBorder="1" applyAlignment="1"/>
    <xf numFmtId="0" fontId="0" fillId="5" borderId="9" xfId="0" applyFill="1" applyBorder="1" applyAlignment="1"/>
    <xf numFmtId="0" fontId="0" fillId="5" borderId="14" xfId="0" applyFill="1" applyBorder="1" applyAlignment="1"/>
    <xf numFmtId="0" fontId="0" fillId="8" borderId="13" xfId="0" applyFill="1" applyBorder="1" applyAlignment="1"/>
    <xf numFmtId="0" fontId="0" fillId="8" borderId="9" xfId="0" applyFill="1" applyBorder="1" applyAlignment="1"/>
    <xf numFmtId="0" fontId="0" fillId="8" borderId="14" xfId="0" applyFill="1" applyBorder="1" applyAlignment="1"/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11" fillId="6" borderId="12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164" fontId="9" fillId="3" borderId="8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4F81BD"/>
      <rgbColor rgb="FFC5BEFF"/>
      <rgbColor rgb="FF878787"/>
      <rgbColor rgb="FF9B8FF5"/>
      <rgbColor rgb="FF993366"/>
      <rgbColor rgb="FFFFF8E7"/>
      <rgbColor rgb="FFF5F3FF"/>
      <rgbColor rgb="FF660066"/>
      <rgbColor rgb="FFFF8080"/>
      <rgbColor rgb="FF0066CC"/>
      <rgbColor rgb="FFC9C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F"/>
      <rgbColor rgb="FFD9D9D9"/>
      <rgbColor rgb="FFFFF0F8"/>
      <rgbColor rgb="FFDDD8FF"/>
      <rgbColor rgb="FFFF99CC"/>
      <rgbColor rgb="FFCC99FF"/>
      <rgbColor rgb="FFE8E4FF"/>
      <rgbColor rgb="FF4472C4"/>
      <rgbColor rgb="FF33CCCC"/>
      <rgbColor rgb="FF99CC00"/>
      <rgbColor rgb="FFFFD700"/>
      <rgbColor rgb="FFFF9900"/>
      <rgbColor rgb="FFFF6600"/>
      <rgbColor rgb="FF7B6BD8"/>
      <rgbColor rgb="FF9896AA"/>
      <rgbColor rgb="FF003366"/>
      <rgbColor rgb="FF27AE60"/>
      <rgbColor rgb="FF003300"/>
      <rgbColor rgb="FF333300"/>
      <rgbColor rgb="FF993300"/>
      <rgbColor rgb="FF993366"/>
      <rgbColor rgb="FF6B5CE7"/>
      <rgbColor rgb="FF2D2B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410352"/>
        <c:axId val="1209410832"/>
      </c:barChart>
      <c:catAx>
        <c:axId val="120941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10832"/>
        <c:crosses val="autoZero"/>
        <c:auto val="1"/>
        <c:lblAlgn val="ctr"/>
        <c:lblOffset val="100"/>
        <c:noMultiLvlLbl val="0"/>
      </c:catAx>
      <c:valAx>
        <c:axId val="12094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1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CASH FLOW</a:t>
            </a:r>
          </a:p>
        </c:rich>
      </c:tx>
      <c:layout>
        <c:manualLayout>
          <c:xMode val="edge"/>
          <c:yMode val="edge"/>
          <c:x val="0.35349462365591394"/>
          <c:y val="3.546099290780142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rgbClr val="C5BE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Tracker'!$U$5:$U$9</c:f>
              <c:strCache>
                <c:ptCount val="5"/>
                <c:pt idx="0">
                  <c:v>Income</c:v>
                </c:pt>
                <c:pt idx="1">
                  <c:v>Expenses</c:v>
                </c:pt>
                <c:pt idx="2">
                  <c:v>Bills</c:v>
                </c:pt>
                <c:pt idx="3">
                  <c:v>Savings</c:v>
                </c:pt>
                <c:pt idx="4">
                  <c:v>Debt</c:v>
                </c:pt>
              </c:strCache>
            </c:strRef>
          </c:cat>
          <c:val>
            <c:numRef>
              <c:f>'Budget Tracker'!$V$5:$V$9</c:f>
              <c:numCache>
                <c:formatCode>\₹#,##0</c:formatCode>
                <c:ptCount val="5"/>
                <c:pt idx="0">
                  <c:v>10600</c:v>
                </c:pt>
                <c:pt idx="1">
                  <c:v>1380</c:v>
                </c:pt>
                <c:pt idx="2">
                  <c:v>2640</c:v>
                </c:pt>
                <c:pt idx="3">
                  <c:v>4570</c:v>
                </c:pt>
                <c:pt idx="4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4-487D-8B89-8467D8B9DE6D}"/>
            </c:ext>
          </c:extLst>
        </c:ser>
        <c:ser>
          <c:idx val="1"/>
          <c:order val="1"/>
          <c:tx>
            <c:v>Actual</c:v>
          </c:tx>
          <c:spPr>
            <a:solidFill>
              <a:srgbClr val="9B8FF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Tracker'!$U$5:$U$9</c:f>
              <c:strCache>
                <c:ptCount val="5"/>
                <c:pt idx="0">
                  <c:v>Income</c:v>
                </c:pt>
                <c:pt idx="1">
                  <c:v>Expenses</c:v>
                </c:pt>
                <c:pt idx="2">
                  <c:v>Bills</c:v>
                </c:pt>
                <c:pt idx="3">
                  <c:v>Savings</c:v>
                </c:pt>
                <c:pt idx="4">
                  <c:v>Debt</c:v>
                </c:pt>
              </c:strCache>
            </c:strRef>
          </c:cat>
          <c:val>
            <c:numRef>
              <c:f>'Budget Tracker'!$W$5:$W$9</c:f>
              <c:numCache>
                <c:formatCode>\₹#,##0</c:formatCode>
                <c:ptCount val="5"/>
                <c:pt idx="0">
                  <c:v>10600</c:v>
                </c:pt>
                <c:pt idx="1">
                  <c:v>1780</c:v>
                </c:pt>
                <c:pt idx="2">
                  <c:v>2940</c:v>
                </c:pt>
                <c:pt idx="3">
                  <c:v>4570</c:v>
                </c:pt>
                <c:pt idx="4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4-487D-8B89-8467D8B9D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19835"/>
        <c:axId val="286231"/>
      </c:barChart>
      <c:catAx>
        <c:axId val="932198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231"/>
        <c:crosses val="autoZero"/>
        <c:auto val="1"/>
        <c:lblAlgn val="ctr"/>
        <c:lblOffset val="100"/>
        <c:noMultiLvlLbl val="0"/>
      </c:catAx>
      <c:valAx>
        <c:axId val="2862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219835"/>
        <c:crosses val="autoZero"/>
        <c:crossBetween val="between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0.34671328046359795"/>
          <c:y val="0.24216926341654105"/>
          <c:w val="0.28865229211939908"/>
          <c:h val="0.1068730105545317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ALLOCATION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'Budget Tracker'!$V$12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9B8FF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B9C-4BAF-A61A-B90216632D59}"/>
              </c:ext>
            </c:extLst>
          </c:dPt>
          <c:dPt>
            <c:idx val="1"/>
            <c:bubble3D val="0"/>
            <c:spPr>
              <a:solidFill>
                <a:srgbClr val="C5BE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B9C-4BAF-A61A-B90216632D59}"/>
              </c:ext>
            </c:extLst>
          </c:dPt>
          <c:dPt>
            <c:idx val="2"/>
            <c:bubble3D val="0"/>
            <c:spPr>
              <a:solidFill>
                <a:srgbClr val="E8E4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B9C-4BAF-A61A-B90216632D59}"/>
              </c:ext>
            </c:extLst>
          </c:dPt>
          <c:dPt>
            <c:idx val="3"/>
            <c:bubble3D val="0"/>
            <c:spPr>
              <a:solidFill>
                <a:srgbClr val="7B6BD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B9C-4BAF-A61A-B90216632D5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9C-4BAF-A61A-B90216632D5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9C-4BAF-A61A-B90216632D5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9C-4BAF-A61A-B90216632D5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9C-4BAF-A61A-B90216632D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'Budget Tracker'!$U$13:$U$16</c:f>
              <c:strCache>
                <c:ptCount val="4"/>
                <c:pt idx="0">
                  <c:v>Expenses</c:v>
                </c:pt>
                <c:pt idx="1">
                  <c:v>Bills</c:v>
                </c:pt>
                <c:pt idx="2">
                  <c:v>Savings</c:v>
                </c:pt>
                <c:pt idx="3">
                  <c:v>Debt</c:v>
                </c:pt>
              </c:strCache>
            </c:strRef>
          </c:cat>
          <c:val>
            <c:numRef>
              <c:f>'Budget Tracker'!$V$13:$V$16</c:f>
              <c:numCache>
                <c:formatCode>\₹#,##0</c:formatCode>
                <c:ptCount val="4"/>
                <c:pt idx="0">
                  <c:v>1380</c:v>
                </c:pt>
                <c:pt idx="1">
                  <c:v>2640</c:v>
                </c:pt>
                <c:pt idx="2">
                  <c:v>4570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9C-4BAF-A61A-B90216632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4BBA37-7FCC-4C44-BFD0-00AACBDE517C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9F960-73A3-5C02-8CFC-E38045AA04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</xdr:colOff>
      <xdr:row>3</xdr:row>
      <xdr:rowOff>91440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68580</xdr:colOff>
      <xdr:row>3</xdr:row>
      <xdr:rowOff>213360</xdr:rowOff>
    </xdr:from>
    <xdr:to>
      <xdr:col>19</xdr:col>
      <xdr:colOff>312420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B8FF5"/>
    <pageSetUpPr fitToPage="1"/>
  </sheetPr>
  <dimension ref="A1:W84"/>
  <sheetViews>
    <sheetView showGridLines="0" tabSelected="1" zoomScaleNormal="100" workbookViewId="0">
      <pane xSplit="1" topLeftCell="B1" activePane="topRight" state="frozen"/>
      <selection activeCell="A23" sqref="A23"/>
      <selection pane="topRight" activeCell="D14" sqref="D14"/>
    </sheetView>
  </sheetViews>
  <sheetFormatPr defaultColWidth="8.6640625" defaultRowHeight="14.4" x14ac:dyDescent="0.3"/>
  <cols>
    <col min="1" max="1" width="1.21875" style="1" customWidth="1"/>
    <col min="2" max="2" width="18" style="1" customWidth="1"/>
    <col min="3" max="4" width="11" style="1" customWidth="1"/>
    <col min="5" max="5" width="1.21875" style="1" customWidth="1"/>
    <col min="6" max="6" width="18" style="1" customWidth="1"/>
    <col min="7" max="8" width="11" style="1" customWidth="1"/>
    <col min="9" max="9" width="9" style="1" customWidth="1"/>
    <col min="10" max="10" width="1.21875" style="1" customWidth="1"/>
    <col min="11" max="11" width="18" style="1" customWidth="1"/>
    <col min="12" max="13" width="11" style="1" customWidth="1"/>
    <col min="14" max="14" width="9" style="1" customWidth="1"/>
    <col min="15" max="15" width="1.21875" style="1" customWidth="1"/>
    <col min="16" max="16" width="18" style="1" customWidth="1"/>
    <col min="17" max="18" width="11" style="1" customWidth="1"/>
    <col min="19" max="19" width="9" style="1" customWidth="1"/>
    <col min="21" max="21" width="14" style="1" customWidth="1"/>
    <col min="22" max="23" width="12" style="1" customWidth="1"/>
  </cols>
  <sheetData>
    <row r="1" spans="1:23" ht="6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ht="36" customHeight="1" x14ac:dyDescent="0.3">
      <c r="A2" s="2"/>
      <c r="B2" s="53" t="s">
        <v>105</v>
      </c>
      <c r="C2" s="53"/>
      <c r="D2" s="53"/>
      <c r="E2" s="2"/>
      <c r="F2" s="55" t="s">
        <v>1</v>
      </c>
      <c r="G2" s="55"/>
      <c r="H2" s="50" t="s">
        <v>2</v>
      </c>
      <c r="I2" s="50"/>
      <c r="J2" s="3"/>
      <c r="K2" s="50" t="s">
        <v>3</v>
      </c>
      <c r="L2" s="50"/>
      <c r="M2" s="50" t="s">
        <v>4</v>
      </c>
      <c r="N2" s="50"/>
      <c r="O2" s="3"/>
      <c r="P2" s="50" t="s">
        <v>5</v>
      </c>
      <c r="Q2" s="50"/>
      <c r="R2" s="2"/>
      <c r="S2" s="2"/>
      <c r="T2" s="2"/>
    </row>
    <row r="3" spans="1:23" ht="13.5" customHeight="1" thickBot="1" x14ac:dyDescent="0.35">
      <c r="A3" s="2"/>
      <c r="B3" s="54" t="s">
        <v>0</v>
      </c>
      <c r="C3" s="54"/>
      <c r="D3" s="54"/>
      <c r="E3" s="2"/>
      <c r="F3" s="51">
        <f>C42</f>
        <v>10600</v>
      </c>
      <c r="G3" s="51"/>
      <c r="H3" s="52">
        <f>L42</f>
        <v>1380</v>
      </c>
      <c r="I3" s="52"/>
      <c r="J3" s="4"/>
      <c r="K3" s="52">
        <f>G37</f>
        <v>2640</v>
      </c>
      <c r="L3" s="52"/>
      <c r="M3" s="52">
        <f>Q32</f>
        <v>4570</v>
      </c>
      <c r="N3" s="52"/>
      <c r="O3" s="4"/>
      <c r="P3" s="52">
        <f>Q43</f>
        <v>755</v>
      </c>
      <c r="Q3" s="52"/>
      <c r="R3" s="2"/>
      <c r="S3" s="2"/>
      <c r="T3" s="2"/>
    </row>
    <row r="4" spans="1:23" ht="19.5" customHeight="1" x14ac:dyDescent="0.3">
      <c r="A4" s="2"/>
      <c r="B4" s="2"/>
      <c r="C4" s="2"/>
      <c r="D4" s="2"/>
      <c r="E4" s="2"/>
      <c r="R4" s="2"/>
      <c r="S4" s="2"/>
      <c r="T4" s="2"/>
      <c r="U4" s="1" t="s">
        <v>6</v>
      </c>
      <c r="V4" s="1" t="s">
        <v>7</v>
      </c>
      <c r="W4" s="1" t="s">
        <v>8</v>
      </c>
    </row>
    <row r="5" spans="1:23" ht="27.75" customHeight="1" x14ac:dyDescent="0.3">
      <c r="A5" s="2"/>
      <c r="B5" s="2"/>
      <c r="C5" s="2"/>
      <c r="D5" s="2"/>
      <c r="E5" s="2"/>
      <c r="R5" s="2"/>
      <c r="S5" s="2"/>
      <c r="T5" s="2"/>
      <c r="U5" s="1" t="s">
        <v>9</v>
      </c>
      <c r="V5" s="5">
        <f>C42</f>
        <v>10600</v>
      </c>
      <c r="W5" s="5">
        <f>D42</f>
        <v>10600</v>
      </c>
    </row>
    <row r="6" spans="1:23" ht="7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 t="s">
        <v>10</v>
      </c>
      <c r="V6" s="5">
        <f>L42</f>
        <v>1380</v>
      </c>
      <c r="W6" s="5">
        <f>M42</f>
        <v>1780</v>
      </c>
    </row>
    <row r="7" spans="1:23" ht="15.75" customHeight="1" x14ac:dyDescent="0.3">
      <c r="A7" s="2"/>
      <c r="B7" s="45" t="s">
        <v>11</v>
      </c>
      <c r="C7" s="45"/>
      <c r="D7" s="45"/>
      <c r="E7" s="2"/>
      <c r="F7" s="46" t="s">
        <v>12</v>
      </c>
      <c r="G7" s="46"/>
      <c r="H7" s="46"/>
      <c r="I7" s="4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 t="s">
        <v>13</v>
      </c>
      <c r="V7" s="5">
        <f>G37</f>
        <v>2640</v>
      </c>
      <c r="W7" s="5">
        <f>H37</f>
        <v>2940</v>
      </c>
    </row>
    <row r="8" spans="1:23" ht="13.5" customHeight="1" x14ac:dyDescent="0.3">
      <c r="A8" s="2"/>
      <c r="B8" s="56">
        <v>45931</v>
      </c>
      <c r="C8" s="6" t="s">
        <v>14</v>
      </c>
      <c r="D8" s="6" t="s">
        <v>15</v>
      </c>
      <c r="E8" s="2"/>
      <c r="F8" s="46"/>
      <c r="G8" s="46"/>
      <c r="H8" s="46"/>
      <c r="I8" s="4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 t="s">
        <v>16</v>
      </c>
      <c r="V8" s="5">
        <f>Q32</f>
        <v>4570</v>
      </c>
      <c r="W8" s="5">
        <f>R32</f>
        <v>4570</v>
      </c>
    </row>
    <row r="9" spans="1:23" ht="13.5" customHeight="1" x14ac:dyDescent="0.3">
      <c r="A9" s="2"/>
      <c r="B9" s="7" t="s">
        <v>17</v>
      </c>
      <c r="C9" s="47" t="s">
        <v>18</v>
      </c>
      <c r="D9" s="47"/>
      <c r="E9" s="2"/>
      <c r="F9" s="46"/>
      <c r="G9" s="46"/>
      <c r="H9" s="46"/>
      <c r="I9" s="4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 t="s">
        <v>19</v>
      </c>
      <c r="V9" s="5">
        <f>Q43</f>
        <v>755</v>
      </c>
      <c r="W9" s="5">
        <f>R43</f>
        <v>755</v>
      </c>
    </row>
    <row r="10" spans="1:23" ht="7.5" customHeight="1" x14ac:dyDescent="0.3">
      <c r="A10" s="2"/>
      <c r="B10" s="2"/>
      <c r="C10" s="2"/>
      <c r="D10" s="2"/>
      <c r="E10" s="2"/>
      <c r="F10" s="48">
        <f>D42-M42-H37-R43</f>
        <v>5125</v>
      </c>
      <c r="G10" s="48"/>
      <c r="H10" s="48"/>
      <c r="I10" s="4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3" ht="18" customHeight="1" x14ac:dyDescent="0.3">
      <c r="A11" s="2"/>
      <c r="B11" s="49" t="s">
        <v>20</v>
      </c>
      <c r="C11" s="49"/>
      <c r="D11" s="49"/>
      <c r="E11" s="2"/>
      <c r="F11" s="48"/>
      <c r="G11" s="48"/>
      <c r="H11" s="48"/>
      <c r="I11" s="4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3" ht="13.5" customHeight="1" x14ac:dyDescent="0.3">
      <c r="A12" s="2"/>
      <c r="B12" s="8"/>
      <c r="C12" s="9" t="s">
        <v>21</v>
      </c>
      <c r="D12" s="10" t="s">
        <v>22</v>
      </c>
      <c r="E12" s="2"/>
      <c r="F12" s="48"/>
      <c r="G12" s="48"/>
      <c r="H12" s="48"/>
      <c r="I12" s="4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 t="s">
        <v>23</v>
      </c>
      <c r="V12" s="1" t="s">
        <v>24</v>
      </c>
    </row>
    <row r="13" spans="1:23" ht="13.5" customHeight="1" x14ac:dyDescent="0.3">
      <c r="A13" s="2"/>
      <c r="B13" s="11" t="s">
        <v>25</v>
      </c>
      <c r="C13" s="12"/>
      <c r="D13" s="13"/>
      <c r="E13" s="2"/>
      <c r="F13" s="48"/>
      <c r="G13" s="48"/>
      <c r="H13" s="48"/>
      <c r="I13" s="4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 t="s">
        <v>10</v>
      </c>
      <c r="V13" s="5">
        <f>L42</f>
        <v>1380</v>
      </c>
    </row>
    <row r="14" spans="1:23" ht="13.5" customHeight="1" x14ac:dyDescent="0.3">
      <c r="A14" s="2"/>
      <c r="B14" s="14" t="s">
        <v>26</v>
      </c>
      <c r="C14" s="15">
        <f>C42</f>
        <v>10600</v>
      </c>
      <c r="D14" s="16">
        <f>D42</f>
        <v>10600</v>
      </c>
      <c r="E14" s="2"/>
      <c r="F14" s="48"/>
      <c r="G14" s="48"/>
      <c r="H14" s="48"/>
      <c r="I14" s="4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 t="s">
        <v>13</v>
      </c>
      <c r="V14" s="5">
        <f>G37</f>
        <v>2640</v>
      </c>
    </row>
    <row r="15" spans="1:23" ht="13.5" customHeight="1" x14ac:dyDescent="0.3">
      <c r="A15" s="2"/>
      <c r="B15" s="11" t="s">
        <v>27</v>
      </c>
      <c r="C15" s="17">
        <f>L42</f>
        <v>1380</v>
      </c>
      <c r="D15" s="18">
        <f>M42</f>
        <v>1780</v>
      </c>
      <c r="E15" s="2"/>
      <c r="F15" s="48"/>
      <c r="G15" s="48"/>
      <c r="H15" s="48"/>
      <c r="I15" s="4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 t="s">
        <v>16</v>
      </c>
      <c r="V15" s="5">
        <f>Q32</f>
        <v>4570</v>
      </c>
    </row>
    <row r="16" spans="1:23" ht="13.5" customHeight="1" x14ac:dyDescent="0.3">
      <c r="A16" s="2"/>
      <c r="B16" s="14" t="s">
        <v>28</v>
      </c>
      <c r="C16" s="15">
        <f>G37</f>
        <v>2640</v>
      </c>
      <c r="D16" s="16">
        <f>H37</f>
        <v>2940</v>
      </c>
      <c r="E16" s="2"/>
      <c r="F16" s="48"/>
      <c r="G16" s="48"/>
      <c r="H16" s="48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 t="s">
        <v>19</v>
      </c>
      <c r="V16" s="5">
        <f>Q43</f>
        <v>755</v>
      </c>
    </row>
    <row r="17" spans="1:20" ht="13.5" customHeight="1" x14ac:dyDescent="0.3">
      <c r="A17" s="2"/>
      <c r="B17" s="11" t="s">
        <v>29</v>
      </c>
      <c r="C17" s="17">
        <f>Q32</f>
        <v>4570</v>
      </c>
      <c r="D17" s="18">
        <f>R32</f>
        <v>4570</v>
      </c>
      <c r="E17" s="2"/>
      <c r="F17" s="48"/>
      <c r="G17" s="48"/>
      <c r="H17" s="48"/>
      <c r="I17" s="4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3.5" customHeight="1" x14ac:dyDescent="0.3">
      <c r="A18" s="2"/>
      <c r="B18" s="14" t="s">
        <v>30</v>
      </c>
      <c r="C18" s="15">
        <f>Q43</f>
        <v>755</v>
      </c>
      <c r="D18" s="16">
        <f>R43</f>
        <v>755</v>
      </c>
      <c r="E18" s="2"/>
      <c r="F18" s="48"/>
      <c r="G18" s="48"/>
      <c r="H18" s="48"/>
      <c r="I18" s="4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75" customHeight="1" x14ac:dyDescent="0.3">
      <c r="A19" s="2"/>
      <c r="B19" s="19" t="s">
        <v>31</v>
      </c>
      <c r="C19" s="20">
        <f>C42-L42-G37-Q43</f>
        <v>5825</v>
      </c>
      <c r="D19" s="21">
        <f>D42-M42-H37-R43</f>
        <v>5125</v>
      </c>
      <c r="E19" s="2"/>
      <c r="F19" s="44" t="s">
        <v>32</v>
      </c>
      <c r="G19" s="44"/>
      <c r="H19" s="44"/>
      <c r="I19" s="4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9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9.5" customHeight="1" x14ac:dyDescent="0.3">
      <c r="A21" s="2"/>
      <c r="B21" s="42" t="s">
        <v>1</v>
      </c>
      <c r="C21" s="42"/>
      <c r="D21" s="42"/>
      <c r="E21" s="2"/>
      <c r="F21" s="42" t="s">
        <v>3</v>
      </c>
      <c r="G21" s="42"/>
      <c r="H21" s="42"/>
      <c r="I21" s="42"/>
      <c r="J21" s="2"/>
      <c r="K21" s="42" t="s">
        <v>2</v>
      </c>
      <c r="L21" s="42"/>
      <c r="M21" s="42"/>
      <c r="N21" s="42"/>
      <c r="O21" s="2"/>
      <c r="P21" s="42" t="s">
        <v>4</v>
      </c>
      <c r="Q21" s="42"/>
      <c r="R21" s="42"/>
      <c r="S21" s="42"/>
      <c r="T21" s="2"/>
    </row>
    <row r="22" spans="1:20" ht="13.5" customHeight="1" x14ac:dyDescent="0.3">
      <c r="A22" s="2"/>
      <c r="B22" s="8"/>
      <c r="C22" s="9" t="s">
        <v>21</v>
      </c>
      <c r="D22" s="10" t="s">
        <v>22</v>
      </c>
      <c r="E22" s="2"/>
      <c r="F22" s="8"/>
      <c r="G22" s="9" t="s">
        <v>21</v>
      </c>
      <c r="H22" s="9" t="s">
        <v>22</v>
      </c>
      <c r="I22" s="10" t="s">
        <v>33</v>
      </c>
      <c r="J22" s="2"/>
      <c r="K22" s="8"/>
      <c r="L22" s="9" t="s">
        <v>21</v>
      </c>
      <c r="M22" s="9" t="s">
        <v>22</v>
      </c>
      <c r="N22" s="10" t="s">
        <v>33</v>
      </c>
      <c r="O22" s="2"/>
      <c r="P22" s="8"/>
      <c r="Q22" s="9" t="s">
        <v>21</v>
      </c>
      <c r="R22" s="9" t="s">
        <v>22</v>
      </c>
      <c r="S22" s="10" t="s">
        <v>33</v>
      </c>
      <c r="T22" s="2"/>
    </row>
    <row r="23" spans="1:20" ht="15" customHeight="1" x14ac:dyDescent="0.3">
      <c r="A23" s="2"/>
      <c r="B23" s="14" t="s">
        <v>34</v>
      </c>
      <c r="C23" s="22">
        <v>10600</v>
      </c>
      <c r="D23" s="23">
        <v>10600</v>
      </c>
      <c r="E23" s="2"/>
      <c r="F23" s="14" t="s">
        <v>35</v>
      </c>
      <c r="G23" s="22">
        <v>2000</v>
      </c>
      <c r="H23" s="22">
        <v>2300</v>
      </c>
      <c r="I23" s="24" t="str">
        <f t="shared" ref="I23:I36" si="0">IF(H23&gt;=G23,"✓ Paid",IF(G23=0,"—",TEXT(IFERROR(H23/G23,0),"0%")))</f>
        <v>✓ Paid</v>
      </c>
      <c r="J23" s="2"/>
      <c r="K23" s="14" t="s">
        <v>36</v>
      </c>
      <c r="L23" s="22">
        <v>150</v>
      </c>
      <c r="M23" s="22">
        <v>550</v>
      </c>
      <c r="N23" s="25">
        <f t="shared" ref="N23:N42" si="1">IFERROR(M23/L23,0)</f>
        <v>3.6666666666666665</v>
      </c>
      <c r="O23" s="2"/>
      <c r="P23" s="14" t="s">
        <v>37</v>
      </c>
      <c r="Q23" s="22">
        <v>600</v>
      </c>
      <c r="R23" s="22">
        <v>600</v>
      </c>
      <c r="S23" s="25">
        <f t="shared" ref="S23:S32" si="2">IFERROR(R23/Q23,0)</f>
        <v>1</v>
      </c>
      <c r="T23" s="2"/>
    </row>
    <row r="24" spans="1:20" ht="15" customHeight="1" x14ac:dyDescent="0.3">
      <c r="A24" s="2"/>
      <c r="B24" s="26" t="s">
        <v>38</v>
      </c>
      <c r="C24" s="22">
        <v>0</v>
      </c>
      <c r="D24" s="23">
        <v>0</v>
      </c>
      <c r="E24" s="2"/>
      <c r="F24" s="26" t="s">
        <v>39</v>
      </c>
      <c r="G24" s="22">
        <v>80</v>
      </c>
      <c r="H24" s="22">
        <v>80</v>
      </c>
      <c r="I24" s="27" t="str">
        <f t="shared" si="0"/>
        <v>✓ Paid</v>
      </c>
      <c r="J24" s="2"/>
      <c r="K24" s="26" t="s">
        <v>40</v>
      </c>
      <c r="L24" s="22">
        <v>300</v>
      </c>
      <c r="M24" s="22">
        <v>300</v>
      </c>
      <c r="N24" s="28">
        <f t="shared" si="1"/>
        <v>1</v>
      </c>
      <c r="O24" s="2"/>
      <c r="P24" s="26" t="s">
        <v>41</v>
      </c>
      <c r="Q24" s="22">
        <v>800</v>
      </c>
      <c r="R24" s="22">
        <v>800</v>
      </c>
      <c r="S24" s="28">
        <f t="shared" si="2"/>
        <v>1</v>
      </c>
      <c r="T24" s="2"/>
    </row>
    <row r="25" spans="1:20" ht="15" customHeight="1" x14ac:dyDescent="0.3">
      <c r="A25" s="2"/>
      <c r="B25" s="14" t="s">
        <v>42</v>
      </c>
      <c r="C25" s="22">
        <v>0</v>
      </c>
      <c r="D25" s="23">
        <v>0</v>
      </c>
      <c r="E25" s="2"/>
      <c r="F25" s="14" t="s">
        <v>43</v>
      </c>
      <c r="G25" s="22">
        <v>190</v>
      </c>
      <c r="H25" s="22">
        <v>190</v>
      </c>
      <c r="I25" s="24" t="str">
        <f t="shared" si="0"/>
        <v>✓ Paid</v>
      </c>
      <c r="J25" s="2"/>
      <c r="K25" s="14" t="s">
        <v>44</v>
      </c>
      <c r="L25" s="22">
        <v>700</v>
      </c>
      <c r="M25" s="22">
        <v>700</v>
      </c>
      <c r="N25" s="25">
        <f t="shared" si="1"/>
        <v>1</v>
      </c>
      <c r="O25" s="2"/>
      <c r="P25" s="14" t="s">
        <v>45</v>
      </c>
      <c r="Q25" s="22">
        <v>350</v>
      </c>
      <c r="R25" s="22">
        <v>350</v>
      </c>
      <c r="S25" s="25">
        <f t="shared" si="2"/>
        <v>1</v>
      </c>
      <c r="T25" s="2"/>
    </row>
    <row r="26" spans="1:20" ht="15" customHeight="1" x14ac:dyDescent="0.3">
      <c r="A26" s="2"/>
      <c r="B26" s="26" t="s">
        <v>46</v>
      </c>
      <c r="C26" s="22">
        <v>0</v>
      </c>
      <c r="D26" s="23">
        <v>0</v>
      </c>
      <c r="E26" s="2"/>
      <c r="F26" s="26" t="s">
        <v>47</v>
      </c>
      <c r="G26" s="22">
        <v>50</v>
      </c>
      <c r="H26" s="22">
        <v>50</v>
      </c>
      <c r="I26" s="27" t="str">
        <f t="shared" si="0"/>
        <v>✓ Paid</v>
      </c>
      <c r="J26" s="2"/>
      <c r="K26" s="26" t="s">
        <v>48</v>
      </c>
      <c r="L26" s="22">
        <v>230</v>
      </c>
      <c r="M26" s="22">
        <v>230</v>
      </c>
      <c r="N26" s="28">
        <f t="shared" si="1"/>
        <v>1</v>
      </c>
      <c r="O26" s="2"/>
      <c r="P26" s="26" t="s">
        <v>49</v>
      </c>
      <c r="Q26" s="22">
        <v>2820</v>
      </c>
      <c r="R26" s="22">
        <v>2820</v>
      </c>
      <c r="S26" s="28">
        <f t="shared" si="2"/>
        <v>1</v>
      </c>
      <c r="T26" s="2"/>
    </row>
    <row r="27" spans="1:20" ht="15" customHeight="1" x14ac:dyDescent="0.3">
      <c r="A27" s="2"/>
      <c r="B27" s="14" t="s">
        <v>50</v>
      </c>
      <c r="C27" s="22">
        <v>0</v>
      </c>
      <c r="D27" s="23">
        <v>0</v>
      </c>
      <c r="E27" s="2"/>
      <c r="F27" s="14" t="s">
        <v>51</v>
      </c>
      <c r="G27" s="22">
        <v>135</v>
      </c>
      <c r="H27" s="22">
        <v>135</v>
      </c>
      <c r="I27" s="24" t="str">
        <f t="shared" si="0"/>
        <v>✓ Paid</v>
      </c>
      <c r="J27" s="2"/>
      <c r="K27" s="14" t="s">
        <v>52</v>
      </c>
      <c r="L27" s="22">
        <v>0</v>
      </c>
      <c r="M27" s="22">
        <v>0</v>
      </c>
      <c r="N27" s="25">
        <f t="shared" si="1"/>
        <v>0</v>
      </c>
      <c r="O27" s="2"/>
      <c r="P27" s="14" t="s">
        <v>53</v>
      </c>
      <c r="Q27" s="22">
        <v>0</v>
      </c>
      <c r="R27" s="22">
        <v>0</v>
      </c>
      <c r="S27" s="25">
        <f t="shared" si="2"/>
        <v>0</v>
      </c>
      <c r="T27" s="2"/>
    </row>
    <row r="28" spans="1:20" ht="15" customHeight="1" x14ac:dyDescent="0.3">
      <c r="A28" s="2"/>
      <c r="B28" s="26" t="s">
        <v>54</v>
      </c>
      <c r="C28" s="22">
        <v>0</v>
      </c>
      <c r="D28" s="23">
        <v>0</v>
      </c>
      <c r="E28" s="2"/>
      <c r="F28" s="26" t="s">
        <v>55</v>
      </c>
      <c r="G28" s="22">
        <v>45</v>
      </c>
      <c r="H28" s="22">
        <v>45</v>
      </c>
      <c r="I28" s="27" t="str">
        <f t="shared" si="0"/>
        <v>✓ Paid</v>
      </c>
      <c r="J28" s="2"/>
      <c r="K28" s="26" t="s">
        <v>56</v>
      </c>
      <c r="L28" s="22">
        <v>0</v>
      </c>
      <c r="M28" s="22">
        <v>0</v>
      </c>
      <c r="N28" s="28">
        <f t="shared" si="1"/>
        <v>0</v>
      </c>
      <c r="O28" s="2"/>
      <c r="P28" s="26" t="s">
        <v>57</v>
      </c>
      <c r="Q28" s="22">
        <v>0</v>
      </c>
      <c r="R28" s="22">
        <v>0</v>
      </c>
      <c r="S28" s="28">
        <f t="shared" si="2"/>
        <v>0</v>
      </c>
      <c r="T28" s="2"/>
    </row>
    <row r="29" spans="1:20" ht="15" customHeight="1" x14ac:dyDescent="0.3">
      <c r="A29" s="2"/>
      <c r="B29" s="14" t="s">
        <v>58</v>
      </c>
      <c r="C29" s="22">
        <v>0</v>
      </c>
      <c r="D29" s="23">
        <v>0</v>
      </c>
      <c r="E29" s="2"/>
      <c r="F29" s="14" t="s">
        <v>59</v>
      </c>
      <c r="G29" s="22">
        <v>140</v>
      </c>
      <c r="H29" s="22">
        <v>140</v>
      </c>
      <c r="I29" s="24" t="str">
        <f t="shared" si="0"/>
        <v>✓ Paid</v>
      </c>
      <c r="J29" s="2"/>
      <c r="K29" s="14" t="s">
        <v>60</v>
      </c>
      <c r="L29" s="22">
        <v>0</v>
      </c>
      <c r="M29" s="22">
        <v>0</v>
      </c>
      <c r="N29" s="25">
        <f t="shared" si="1"/>
        <v>0</v>
      </c>
      <c r="O29" s="2"/>
      <c r="P29" s="14" t="s">
        <v>61</v>
      </c>
      <c r="Q29" s="22">
        <v>0</v>
      </c>
      <c r="R29" s="22">
        <v>0</v>
      </c>
      <c r="S29" s="25">
        <f t="shared" si="2"/>
        <v>0</v>
      </c>
      <c r="T29" s="2"/>
    </row>
    <row r="30" spans="1:20" ht="15" customHeight="1" x14ac:dyDescent="0.3">
      <c r="A30" s="2"/>
      <c r="B30" s="26" t="s">
        <v>62</v>
      </c>
      <c r="C30" s="22">
        <v>0</v>
      </c>
      <c r="D30" s="23">
        <v>0</v>
      </c>
      <c r="E30" s="2"/>
      <c r="F30" s="26" t="s">
        <v>63</v>
      </c>
      <c r="G30" s="22">
        <v>0</v>
      </c>
      <c r="H30" s="22">
        <v>0</v>
      </c>
      <c r="I30" s="27" t="str">
        <f t="shared" si="0"/>
        <v>✓ Paid</v>
      </c>
      <c r="J30" s="2"/>
      <c r="K30" s="26" t="s">
        <v>64</v>
      </c>
      <c r="L30" s="22">
        <v>0</v>
      </c>
      <c r="M30" s="22">
        <v>0</v>
      </c>
      <c r="N30" s="28">
        <f t="shared" si="1"/>
        <v>0</v>
      </c>
      <c r="O30" s="2"/>
      <c r="P30" s="26" t="s">
        <v>65</v>
      </c>
      <c r="Q30" s="22">
        <v>0</v>
      </c>
      <c r="R30" s="22">
        <v>0</v>
      </c>
      <c r="S30" s="28">
        <f t="shared" si="2"/>
        <v>0</v>
      </c>
      <c r="T30" s="2"/>
    </row>
    <row r="31" spans="1:20" ht="15" customHeight="1" x14ac:dyDescent="0.3">
      <c r="A31" s="2"/>
      <c r="B31" s="14" t="s">
        <v>66</v>
      </c>
      <c r="C31" s="22">
        <v>0</v>
      </c>
      <c r="D31" s="23">
        <v>0</v>
      </c>
      <c r="E31" s="2"/>
      <c r="F31" s="14" t="s">
        <v>67</v>
      </c>
      <c r="G31" s="22">
        <v>0</v>
      </c>
      <c r="H31" s="22">
        <v>0</v>
      </c>
      <c r="I31" s="24" t="str">
        <f t="shared" si="0"/>
        <v>✓ Paid</v>
      </c>
      <c r="J31" s="2"/>
      <c r="K31" s="14" t="s">
        <v>68</v>
      </c>
      <c r="L31" s="22">
        <v>0</v>
      </c>
      <c r="M31" s="22">
        <v>0</v>
      </c>
      <c r="N31" s="25">
        <f t="shared" si="1"/>
        <v>0</v>
      </c>
      <c r="O31" s="2"/>
      <c r="P31" s="14" t="s">
        <v>69</v>
      </c>
      <c r="Q31" s="22">
        <v>0</v>
      </c>
      <c r="R31" s="22">
        <v>0</v>
      </c>
      <c r="S31" s="25">
        <f t="shared" si="2"/>
        <v>0</v>
      </c>
      <c r="T31" s="2"/>
    </row>
    <row r="32" spans="1:20" ht="15.75" customHeight="1" x14ac:dyDescent="0.3">
      <c r="A32" s="2"/>
      <c r="B32" s="26" t="s">
        <v>70</v>
      </c>
      <c r="C32" s="22">
        <v>0</v>
      </c>
      <c r="D32" s="23">
        <v>0</v>
      </c>
      <c r="E32" s="2"/>
      <c r="F32" s="26" t="s">
        <v>71</v>
      </c>
      <c r="G32" s="22">
        <v>0</v>
      </c>
      <c r="H32" s="22">
        <v>0</v>
      </c>
      <c r="I32" s="27" t="str">
        <f t="shared" si="0"/>
        <v>✓ Paid</v>
      </c>
      <c r="J32" s="2"/>
      <c r="K32" s="26" t="s">
        <v>72</v>
      </c>
      <c r="L32" s="22">
        <v>0</v>
      </c>
      <c r="M32" s="22">
        <v>0</v>
      </c>
      <c r="N32" s="28">
        <f t="shared" si="1"/>
        <v>0</v>
      </c>
      <c r="O32" s="2"/>
      <c r="P32" s="19" t="s">
        <v>73</v>
      </c>
      <c r="Q32" s="20">
        <f>SUM(Q23:Q31)</f>
        <v>4570</v>
      </c>
      <c r="R32" s="20">
        <f>SUM(R23:R31)</f>
        <v>4570</v>
      </c>
      <c r="S32" s="29">
        <f t="shared" si="2"/>
        <v>1</v>
      </c>
      <c r="T32" s="2"/>
    </row>
    <row r="33" spans="1:20" ht="19.5" customHeight="1" x14ac:dyDescent="0.3">
      <c r="A33" s="2"/>
      <c r="B33" s="14" t="s">
        <v>74</v>
      </c>
      <c r="C33" s="22">
        <v>0</v>
      </c>
      <c r="D33" s="23">
        <v>0</v>
      </c>
      <c r="E33" s="2"/>
      <c r="F33" s="14" t="s">
        <v>75</v>
      </c>
      <c r="G33" s="22">
        <v>0</v>
      </c>
      <c r="H33" s="22">
        <v>0</v>
      </c>
      <c r="I33" s="24" t="str">
        <f t="shared" si="0"/>
        <v>✓ Paid</v>
      </c>
      <c r="J33" s="2"/>
      <c r="K33" s="14" t="s">
        <v>76</v>
      </c>
      <c r="L33" s="22">
        <v>0</v>
      </c>
      <c r="M33" s="22">
        <v>0</v>
      </c>
      <c r="N33" s="25">
        <f t="shared" si="1"/>
        <v>0</v>
      </c>
      <c r="O33" s="2"/>
      <c r="P33" s="42" t="s">
        <v>5</v>
      </c>
      <c r="Q33" s="42"/>
      <c r="R33" s="42"/>
      <c r="S33" s="42"/>
      <c r="T33" s="2"/>
    </row>
    <row r="34" spans="1:20" ht="13.5" customHeight="1" x14ac:dyDescent="0.3">
      <c r="A34" s="2"/>
      <c r="B34" s="26" t="s">
        <v>77</v>
      </c>
      <c r="C34" s="22">
        <v>0</v>
      </c>
      <c r="D34" s="23">
        <v>0</v>
      </c>
      <c r="E34" s="2"/>
      <c r="F34" s="26" t="s">
        <v>78</v>
      </c>
      <c r="G34" s="22">
        <v>0</v>
      </c>
      <c r="H34" s="22">
        <v>0</v>
      </c>
      <c r="I34" s="27" t="str">
        <f t="shared" si="0"/>
        <v>✓ Paid</v>
      </c>
      <c r="J34" s="2"/>
      <c r="K34" s="26" t="s">
        <v>79</v>
      </c>
      <c r="L34" s="22">
        <v>0</v>
      </c>
      <c r="M34" s="22">
        <v>0</v>
      </c>
      <c r="N34" s="28">
        <f t="shared" si="1"/>
        <v>0</v>
      </c>
      <c r="O34" s="2"/>
      <c r="P34" s="8"/>
      <c r="Q34" s="9" t="s">
        <v>21</v>
      </c>
      <c r="R34" s="9" t="s">
        <v>22</v>
      </c>
      <c r="S34" s="10" t="s">
        <v>33</v>
      </c>
      <c r="T34" s="2"/>
    </row>
    <row r="35" spans="1:20" ht="15" customHeight="1" x14ac:dyDescent="0.3">
      <c r="A35" s="2"/>
      <c r="B35" s="14" t="s">
        <v>80</v>
      </c>
      <c r="C35" s="22">
        <v>0</v>
      </c>
      <c r="D35" s="23">
        <v>0</v>
      </c>
      <c r="E35" s="2"/>
      <c r="F35" s="14" t="s">
        <v>81</v>
      </c>
      <c r="G35" s="22">
        <v>0</v>
      </c>
      <c r="H35" s="22">
        <v>0</v>
      </c>
      <c r="I35" s="24" t="str">
        <f t="shared" si="0"/>
        <v>✓ Paid</v>
      </c>
      <c r="J35" s="2"/>
      <c r="K35" s="14" t="s">
        <v>82</v>
      </c>
      <c r="L35" s="22">
        <v>0</v>
      </c>
      <c r="M35" s="22">
        <v>0</v>
      </c>
      <c r="N35" s="25">
        <f t="shared" si="1"/>
        <v>0</v>
      </c>
      <c r="O35" s="2"/>
      <c r="P35" s="14" t="s">
        <v>83</v>
      </c>
      <c r="Q35" s="22">
        <v>600</v>
      </c>
      <c r="R35" s="22">
        <v>600</v>
      </c>
      <c r="S35" s="25">
        <f t="shared" ref="S35:S43" si="3">IFERROR(R35/Q35,0)</f>
        <v>1</v>
      </c>
      <c r="T35" s="2"/>
    </row>
    <row r="36" spans="1:20" ht="15" customHeight="1" x14ac:dyDescent="0.3">
      <c r="A36" s="2"/>
      <c r="B36" s="26" t="s">
        <v>84</v>
      </c>
      <c r="C36" s="22">
        <v>0</v>
      </c>
      <c r="D36" s="23">
        <v>0</v>
      </c>
      <c r="E36" s="2"/>
      <c r="F36" s="26" t="s">
        <v>85</v>
      </c>
      <c r="G36" s="22">
        <v>0</v>
      </c>
      <c r="H36" s="22">
        <v>0</v>
      </c>
      <c r="I36" s="27" t="str">
        <f t="shared" si="0"/>
        <v>✓ Paid</v>
      </c>
      <c r="J36" s="2"/>
      <c r="K36" s="26" t="s">
        <v>86</v>
      </c>
      <c r="L36" s="22">
        <v>0</v>
      </c>
      <c r="M36" s="22">
        <v>0</v>
      </c>
      <c r="N36" s="28">
        <f t="shared" si="1"/>
        <v>0</v>
      </c>
      <c r="O36" s="2"/>
      <c r="P36" s="26" t="s">
        <v>87</v>
      </c>
      <c r="Q36" s="22">
        <v>35</v>
      </c>
      <c r="R36" s="22">
        <v>35</v>
      </c>
      <c r="S36" s="28">
        <f t="shared" si="3"/>
        <v>1</v>
      </c>
      <c r="T36" s="2"/>
    </row>
    <row r="37" spans="1:20" ht="15" customHeight="1" x14ac:dyDescent="0.3">
      <c r="A37" s="2"/>
      <c r="B37" s="14" t="s">
        <v>88</v>
      </c>
      <c r="C37" s="22">
        <v>0</v>
      </c>
      <c r="D37" s="23">
        <v>0</v>
      </c>
      <c r="E37" s="2"/>
      <c r="F37" s="30" t="s">
        <v>73</v>
      </c>
      <c r="G37" s="31">
        <f>SUM(G23:G36)</f>
        <v>2640</v>
      </c>
      <c r="H37" s="31">
        <f>SUM(H23:H36)</f>
        <v>2940</v>
      </c>
      <c r="I37" s="32">
        <f>IFERROR(H37/G37,0)</f>
        <v>1.1136363636363635</v>
      </c>
      <c r="J37" s="2"/>
      <c r="K37" s="14" t="s">
        <v>89</v>
      </c>
      <c r="L37" s="22">
        <v>0</v>
      </c>
      <c r="M37" s="22">
        <v>0</v>
      </c>
      <c r="N37" s="25">
        <f t="shared" si="1"/>
        <v>0</v>
      </c>
      <c r="O37" s="2"/>
      <c r="P37" s="14" t="s">
        <v>90</v>
      </c>
      <c r="Q37" s="22">
        <v>120</v>
      </c>
      <c r="R37" s="22">
        <v>120</v>
      </c>
      <c r="S37" s="25">
        <f t="shared" si="3"/>
        <v>1</v>
      </c>
      <c r="T37" s="2"/>
    </row>
    <row r="38" spans="1:20" ht="15" customHeight="1" x14ac:dyDescent="0.3">
      <c r="A38" s="2"/>
      <c r="B38" s="26" t="s">
        <v>91</v>
      </c>
      <c r="C38" s="22">
        <v>0</v>
      </c>
      <c r="D38" s="23">
        <v>0</v>
      </c>
      <c r="E38" s="2"/>
      <c r="F38" s="33"/>
      <c r="G38" s="34"/>
      <c r="H38" s="34"/>
      <c r="I38" s="35"/>
      <c r="J38" s="2"/>
      <c r="K38" s="26" t="s">
        <v>92</v>
      </c>
      <c r="L38" s="22">
        <v>0</v>
      </c>
      <c r="M38" s="22">
        <v>0</v>
      </c>
      <c r="N38" s="28">
        <f t="shared" si="1"/>
        <v>0</v>
      </c>
      <c r="O38" s="2"/>
      <c r="P38" s="26" t="s">
        <v>93</v>
      </c>
      <c r="Q38" s="22">
        <v>0</v>
      </c>
      <c r="R38" s="22">
        <v>0</v>
      </c>
      <c r="S38" s="28">
        <f t="shared" si="3"/>
        <v>0</v>
      </c>
      <c r="T38" s="2"/>
    </row>
    <row r="39" spans="1:20" ht="15" customHeight="1" x14ac:dyDescent="0.3">
      <c r="A39" s="2"/>
      <c r="B39" s="14" t="s">
        <v>94</v>
      </c>
      <c r="C39" s="22">
        <v>0</v>
      </c>
      <c r="D39" s="23">
        <v>0</v>
      </c>
      <c r="E39" s="2"/>
      <c r="F39" s="36"/>
      <c r="G39" s="37"/>
      <c r="H39" s="37"/>
      <c r="I39" s="38"/>
      <c r="J39" s="2"/>
      <c r="K39" s="14" t="s">
        <v>95</v>
      </c>
      <c r="L39" s="22">
        <v>0</v>
      </c>
      <c r="M39" s="22">
        <v>0</v>
      </c>
      <c r="N39" s="25">
        <f t="shared" si="1"/>
        <v>0</v>
      </c>
      <c r="O39" s="2"/>
      <c r="P39" s="14" t="s">
        <v>96</v>
      </c>
      <c r="Q39" s="22">
        <v>0</v>
      </c>
      <c r="R39" s="22">
        <v>0</v>
      </c>
      <c r="S39" s="25">
        <f t="shared" si="3"/>
        <v>0</v>
      </c>
      <c r="T39" s="2"/>
    </row>
    <row r="40" spans="1:20" ht="15" customHeight="1" x14ac:dyDescent="0.3">
      <c r="A40" s="2"/>
      <c r="B40" s="26" t="s">
        <v>97</v>
      </c>
      <c r="C40" s="22">
        <v>0</v>
      </c>
      <c r="D40" s="23">
        <v>0</v>
      </c>
      <c r="E40" s="2"/>
      <c r="F40" s="33"/>
      <c r="G40" s="34"/>
      <c r="H40" s="34"/>
      <c r="I40" s="35"/>
      <c r="J40" s="2"/>
      <c r="K40" s="26" t="s">
        <v>98</v>
      </c>
      <c r="L40" s="22">
        <v>0</v>
      </c>
      <c r="M40" s="22">
        <v>0</v>
      </c>
      <c r="N40" s="28">
        <f t="shared" si="1"/>
        <v>0</v>
      </c>
      <c r="O40" s="2"/>
      <c r="P40" s="26" t="s">
        <v>99</v>
      </c>
      <c r="Q40" s="22">
        <v>0</v>
      </c>
      <c r="R40" s="22">
        <v>0</v>
      </c>
      <c r="S40" s="28">
        <f t="shared" si="3"/>
        <v>0</v>
      </c>
      <c r="T40" s="2"/>
    </row>
    <row r="41" spans="1:20" ht="15" customHeight="1" x14ac:dyDescent="0.3">
      <c r="A41" s="2"/>
      <c r="B41" s="14" t="s">
        <v>100</v>
      </c>
      <c r="C41" s="22">
        <v>0</v>
      </c>
      <c r="D41" s="23">
        <v>0</v>
      </c>
      <c r="E41" s="2"/>
      <c r="F41" s="36"/>
      <c r="G41" s="37"/>
      <c r="H41" s="37"/>
      <c r="I41" s="38"/>
      <c r="J41" s="2"/>
      <c r="K41" s="14" t="s">
        <v>101</v>
      </c>
      <c r="L41" s="22">
        <v>0</v>
      </c>
      <c r="M41" s="22">
        <v>0</v>
      </c>
      <c r="N41" s="25">
        <f t="shared" si="1"/>
        <v>0</v>
      </c>
      <c r="O41" s="2"/>
      <c r="P41" s="14" t="s">
        <v>102</v>
      </c>
      <c r="Q41" s="22">
        <v>0</v>
      </c>
      <c r="R41" s="22">
        <v>0</v>
      </c>
      <c r="S41" s="25">
        <f t="shared" si="3"/>
        <v>0</v>
      </c>
      <c r="T41" s="2"/>
    </row>
    <row r="42" spans="1:20" ht="15" customHeight="1" x14ac:dyDescent="0.3">
      <c r="A42" s="2"/>
      <c r="B42" s="19" t="s">
        <v>73</v>
      </c>
      <c r="C42" s="20">
        <f>SUM(C23:C41)</f>
        <v>10600</v>
      </c>
      <c r="D42" s="21">
        <f>SUM(D23:D41)</f>
        <v>10600</v>
      </c>
      <c r="E42" s="2"/>
      <c r="F42" s="39"/>
      <c r="G42" s="40"/>
      <c r="H42" s="40"/>
      <c r="I42" s="41"/>
      <c r="J42" s="2"/>
      <c r="K42" s="19" t="s">
        <v>73</v>
      </c>
      <c r="L42" s="20">
        <f>SUM(L23:L41)</f>
        <v>1380</v>
      </c>
      <c r="M42" s="20">
        <f>SUM(M23:M41)</f>
        <v>1780</v>
      </c>
      <c r="N42" s="29">
        <f t="shared" si="1"/>
        <v>1.2898550724637681</v>
      </c>
      <c r="O42" s="2"/>
      <c r="P42" s="26" t="s">
        <v>103</v>
      </c>
      <c r="Q42" s="22">
        <v>0</v>
      </c>
      <c r="R42" s="22">
        <v>0</v>
      </c>
      <c r="S42" s="28">
        <f t="shared" si="3"/>
        <v>0</v>
      </c>
      <c r="T42" s="2"/>
    </row>
    <row r="43" spans="1:20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9" t="s">
        <v>73</v>
      </c>
      <c r="Q43" s="20">
        <f>SUM(Q35:Q42)</f>
        <v>755</v>
      </c>
      <c r="R43" s="20">
        <f>SUM(R35:R42)</f>
        <v>755</v>
      </c>
      <c r="S43" s="29">
        <f t="shared" si="3"/>
        <v>1</v>
      </c>
      <c r="T43" s="2"/>
    </row>
    <row r="44" spans="1:20" ht="7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8" customHeight="1" x14ac:dyDescent="0.3">
      <c r="A45" s="2"/>
      <c r="B45" s="43" t="s">
        <v>104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2"/>
    </row>
    <row r="46" spans="1:20" ht="7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24">
    <mergeCell ref="B2:D2"/>
    <mergeCell ref="B3:D3"/>
    <mergeCell ref="F2:G2"/>
    <mergeCell ref="H2:I2"/>
    <mergeCell ref="K2:L2"/>
    <mergeCell ref="M2:N2"/>
    <mergeCell ref="P2:Q2"/>
    <mergeCell ref="F3:G3"/>
    <mergeCell ref="H3:I3"/>
    <mergeCell ref="K3:L3"/>
    <mergeCell ref="M3:N3"/>
    <mergeCell ref="P3:Q3"/>
    <mergeCell ref="B7:D7"/>
    <mergeCell ref="F7:I9"/>
    <mergeCell ref="C9:D9"/>
    <mergeCell ref="F10:I18"/>
    <mergeCell ref="B11:D11"/>
    <mergeCell ref="P33:S33"/>
    <mergeCell ref="B45:S45"/>
    <mergeCell ref="F19:I19"/>
    <mergeCell ref="B21:D21"/>
    <mergeCell ref="F21:I21"/>
    <mergeCell ref="K21:N21"/>
    <mergeCell ref="P21:S21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Budget Tracker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Govekar</cp:lastModifiedBy>
  <cp:revision>2</cp:revision>
  <dcterms:created xsi:type="dcterms:W3CDTF">2026-06-19T20:48:12Z</dcterms:created>
  <dcterms:modified xsi:type="dcterms:W3CDTF">2026-06-21T19:38:06Z</dcterms:modified>
  <dc:language>en-US</dc:language>
</cp:coreProperties>
</file>